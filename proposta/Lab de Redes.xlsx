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GENAPLANT" sheetId="2" r:id="rId6"/>
    <sheet state="visible" name="GEAGRI" sheetId="3" r:id="rId7"/>
    <sheet state="visible" name="GRUPO AGROFLORESTAL" sheetId="4" r:id="rId8"/>
    <sheet state="visible" name="BIOGECOM" sheetId="5" r:id="rId9"/>
    <sheet state="visible" name=" CULTURA DE TECIDOS DE PLANTA" sheetId="6" r:id="rId10"/>
    <sheet state="visible" name="Lista de equipamentos" sheetId="7" r:id="rId11"/>
    <sheet state="visible" name="Mapa de localização" sheetId="8" r:id="rId12"/>
    <sheet state="visible" name="Topologia" sheetId="9" r:id="rId13"/>
    <sheet state="visible" name="Cobertura Wi-Fi 2,4G" sheetId="10" r:id="rId14"/>
    <sheet state="visible" name="Cobertura Wi-Fi 5G" sheetId="11" r:id="rId15"/>
    <sheet state="visible" name="Cobertura Wi-Fi 6G" sheetId="12" r:id="rId16"/>
    <sheet state="visible" name="Diagrama de cablagem" sheetId="13" r:id="rId17"/>
  </sheets>
  <definedNames/>
  <calcPr/>
</workbook>
</file>

<file path=xl/sharedStrings.xml><?xml version="1.0" encoding="utf-8"?>
<sst xmlns="http://schemas.openxmlformats.org/spreadsheetml/2006/main" count="447" uniqueCount="156">
  <si>
    <t>Item</t>
  </si>
  <si>
    <t>Descrição</t>
  </si>
  <si>
    <t>Quantidade</t>
  </si>
  <si>
    <t xml:space="preserve">Valor Unitário </t>
  </si>
  <si>
    <t>Valor Total</t>
  </si>
  <si>
    <t>N° da ata</t>
  </si>
  <si>
    <t>N° do item da ata</t>
  </si>
  <si>
    <t>Roteador</t>
  </si>
  <si>
    <t>25944455000196-1-000141/2024</t>
  </si>
  <si>
    <t>Switch Camada 2</t>
  </si>
  <si>
    <t>compartilhado</t>
  </si>
  <si>
    <t>01263896000164-1-000173/2025</t>
  </si>
  <si>
    <t>Ponto de Acesso Wi-Fi (Dual Band)</t>
  </si>
  <si>
    <t>10735145000194-1-000240/2025-000001</t>
  </si>
  <si>
    <t>Rack de Parede (9U ou 12U)</t>
  </si>
  <si>
    <t>76282656000106-1-000525/2025-000001</t>
  </si>
  <si>
    <t>Cabo de Rede Cat6</t>
  </si>
  <si>
    <t xml:space="preserve"> 04892707000100-1-000453/2025</t>
  </si>
  <si>
    <t>Patch Panel Cat6</t>
  </si>
  <si>
    <t>04892707000100-1-000453/2025</t>
  </si>
  <si>
    <t>Computadores de Pesquisa (Desktop)</t>
  </si>
  <si>
    <t>00489828000155-1-000055/2025</t>
  </si>
  <si>
    <t>Monitores (21" ou 24")</t>
  </si>
  <si>
    <t>Kits de Teclado e Mouse</t>
  </si>
  <si>
    <t>00509968000148-1-004008/2025-000002</t>
  </si>
  <si>
    <t>Mousepads</t>
  </si>
  <si>
    <t>13128780004431-1-000130/2025</t>
  </si>
  <si>
    <t>Servidor Físico</t>
  </si>
  <si>
    <t>Compartilhado entre os laboratório</t>
  </si>
  <si>
    <r>
      <rPr>
        <color rgb="FF1155CC"/>
        <u/>
      </rPr>
      <t>00508903000188-1-001321/2025</t>
    </r>
  </si>
  <si>
    <t>SENSOR DE TEMPERATURA DO AR E UMIDADE RELATIVA DO AR INTEGRADO - Dualbase - TUSensDS-HD</t>
  </si>
  <si>
    <t>Luiz, Vitório, Pedro e Victor irão compartilhar 1</t>
  </si>
  <si>
    <r>
      <rPr>
        <color rgb="FF1155CC"/>
        <u/>
      </rPr>
      <t>00396895000125-1-000270/2025</t>
    </r>
  </si>
  <si>
    <t>SENSOR DE UMIDADE DO SOLO - Meter - Teros10</t>
  </si>
  <si>
    <t>Luiz, Vitório e Victor irão compartilhar 1</t>
  </si>
  <si>
    <r>
      <rPr>
        <color rgb="FF1155CC"/>
        <u/>
      </rPr>
      <t>00396895000125-1-000270/2025</t>
    </r>
  </si>
  <si>
    <t>Mesas de Escritório Individuais</t>
  </si>
  <si>
    <t>00509968000148-1-002508/2025-000001</t>
  </si>
  <si>
    <t>Cadeiras Ergonômicas</t>
  </si>
  <si>
    <t>00394452000103-1-018171/2024-000002</t>
  </si>
  <si>
    <t>Nobreak Senoidal (1500VA)</t>
  </si>
  <si>
    <t>00394494000136-1-001096/2024</t>
  </si>
  <si>
    <t>ESP32 (com Wi-Fi e Bluetooth nativos)</t>
  </si>
  <si>
    <t xml:space="preserve"> 15461510000133-1-000024/2025</t>
  </si>
  <si>
    <t>Drone Multiespectral</t>
  </si>
  <si>
    <r>
      <rPr>
        <color rgb="FF1155CC"/>
        <u/>
      </rPr>
      <t>00489828000155-1-000743/2025</t>
    </r>
  </si>
  <si>
    <t>TOTAL</t>
  </si>
  <si>
    <t>Compartilhado</t>
  </si>
  <si>
    <r>
      <rPr>
        <color rgb="FF1155CC"/>
        <u/>
      </rPr>
      <t>00508903000188-1-001321/2025</t>
    </r>
  </si>
  <si>
    <r>
      <rPr>
        <color rgb="FF1155CC"/>
        <u/>
      </rPr>
      <t>00396895000125-1-000270/2025</t>
    </r>
  </si>
  <si>
    <r>
      <rPr>
        <color rgb="FF1155CC"/>
        <u/>
      </rPr>
      <t>00396895000125-1-000270/2025</t>
    </r>
  </si>
  <si>
    <r>
      <rPr>
        <color rgb="FF1155CC"/>
        <u/>
      </rPr>
      <t>00489828000155-1-000743/2025</t>
    </r>
  </si>
  <si>
    <t>Mouses Pads</t>
  </si>
  <si>
    <t>Servidor de Banco de Dados</t>
  </si>
  <si>
    <r>
      <rPr>
        <color rgb="FF1155CC"/>
        <u/>
      </rPr>
      <t>00508903000188-1-001321/2025</t>
    </r>
  </si>
  <si>
    <t>Sensor de temperatura</t>
  </si>
  <si>
    <r>
      <rPr>
        <color rgb="FF1155CC"/>
        <u/>
      </rPr>
      <t>00396895000125-1-000270/2025</t>
    </r>
  </si>
  <si>
    <t>Sensor de Umidade</t>
  </si>
  <si>
    <r>
      <rPr>
        <color rgb="FF1155CC"/>
        <u/>
      </rPr>
      <t>00396895000125-1-000270/2025</t>
    </r>
  </si>
  <si>
    <r>
      <rPr>
        <color rgb="FF1155CC"/>
        <u/>
      </rPr>
      <t>00489828000155-1-000743/2025</t>
    </r>
  </si>
  <si>
    <r>
      <rPr>
        <color rgb="FF1155CC"/>
        <u/>
      </rPr>
      <t>00508903000188-1-001321/2025</t>
    </r>
  </si>
  <si>
    <r>
      <rPr>
        <color rgb="FF1155CC"/>
        <u/>
      </rPr>
      <t>00396895000125-1-000270/2025</t>
    </r>
  </si>
  <si>
    <r>
      <rPr>
        <color rgb="FF1155CC"/>
        <u/>
      </rPr>
      <t>00396895000125-1-000270/2025</t>
    </r>
  </si>
  <si>
    <r>
      <rPr>
        <color rgb="FF1155CC"/>
        <u/>
      </rPr>
      <t>00489828000155-1-000743/2025</t>
    </r>
  </si>
  <si>
    <t>compartilhado entre laboratórios</t>
  </si>
  <si>
    <t>00508903000188-1-001321/2025</t>
  </si>
  <si>
    <t>00396895000125-1-000270/2025</t>
  </si>
  <si>
    <r>
      <rPr>
        <color rgb="FF1155CC"/>
        <u/>
      </rPr>
      <t>00508903000188-1-001321/2025</t>
    </r>
  </si>
  <si>
    <r>
      <rPr>
        <color rgb="FF1155CC"/>
        <u/>
      </rPr>
      <t>00396895000125-1-000270/2025</t>
    </r>
  </si>
  <si>
    <r>
      <rPr>
        <color rgb="FF1155CC"/>
        <u/>
      </rPr>
      <t>00396895000125-1-000270/2025</t>
    </r>
  </si>
  <si>
    <r>
      <rPr>
        <color rgb="FF1155CC"/>
        <u/>
      </rPr>
      <t>00489828000155-1-000743/2025</t>
    </r>
  </si>
  <si>
    <r>
      <rPr>
        <rFont val="Times New Roman Light"/>
        <b/>
        <color rgb="FF000000"/>
        <sz val="12.0"/>
      </rPr>
      <t xml:space="preserve">Planta Baixa para CCAA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</si>
  <si>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t/>
  </si>
  <si>
    <t>Tipo</t>
  </si>
  <si>
    <t>Tipo Dispositivo</t>
  </si>
  <si>
    <t>Ata Vigente (ID de Contratação PNCP)</t>
  </si>
  <si>
    <t>Marca</t>
  </si>
  <si>
    <t>Cópia de Segurança</t>
  </si>
  <si>
    <t>Total</t>
  </si>
  <si>
    <t>Preço unitário</t>
  </si>
  <si>
    <t>Desconto</t>
  </si>
  <si>
    <t>Preço total</t>
  </si>
  <si>
    <t>ER605W</t>
  </si>
  <si>
    <t>259444550001961-000141/2024</t>
  </si>
  <si>
    <t>Omada AC1200 Gigabit Wi-Fi Gateway</t>
  </si>
  <si>
    <t>RUCKUS</t>
  </si>
  <si>
    <t>5</t>
  </si>
  <si>
    <t>0</t>
  </si>
  <si>
    <t>BRL 808.90</t>
  </si>
  <si>
    <t>0.00%</t>
  </si>
  <si>
    <t>BRL 4044.50</t>
  </si>
  <si>
    <t>SG6428XHP</t>
  </si>
  <si>
    <t>Switch 24 portas</t>
  </si>
  <si>
    <t>Omada Campus 24-Port Gigabit Stackable L3 Managed Switch with 4× 10G Slots</t>
  </si>
  <si>
    <t>INTELBRAS Modelo: SC
3170-24G-4X</t>
  </si>
  <si>
    <t>2</t>
  </si>
  <si>
    <t>BRL 6000.00</t>
  </si>
  <si>
    <t>BRL 12000.00</t>
  </si>
  <si>
    <t>EAP787</t>
  </si>
  <si>
    <t>Access Point Dual Band</t>
  </si>
  <si>
    <t>10735145000194-1-000240/2025</t>
  </si>
  <si>
    <t>BE15000 Ceiling Mount Tri-Band Wi-Fi 7 Access Point</t>
  </si>
  <si>
    <t>Ubiquiti U7Pro +
Injetor POE+ Path Cord
RJ45 Cat6</t>
  </si>
  <si>
    <t>1</t>
  </si>
  <si>
    <t>BRL 1699.00</t>
  </si>
  <si>
    <t>CAT.6</t>
  </si>
  <si>
    <t>Cabeamento CAT6</t>
  </si>
  <si>
    <t>Suporta taxa de 10 Gbps em 55 m / 180 ft</t>
  </si>
  <si>
    <t xml:space="preserve">CABO DE REDE
CAT6 </t>
  </si>
  <si>
    <t>70 m (230 ft)</t>
  </si>
  <si>
    <t>BRL 2.40</t>
  </si>
  <si>
    <t>BRL 168.00</t>
  </si>
  <si>
    <t>Taxas de equipamento:</t>
  </si>
  <si>
    <t>BRL 17911.50</t>
  </si>
  <si>
    <t>Taxas de equipamento</t>
  </si>
  <si>
    <t>Taxas adicionais</t>
  </si>
  <si>
    <t>Taxas (0.0%)</t>
  </si>
  <si>
    <t>17911.50</t>
  </si>
  <si>
    <t>+</t>
  </si>
  <si>
    <t>0.00</t>
  </si>
  <si>
    <t xml:space="preserve">Total: </t>
  </si>
  <si>
    <r>
      <rPr>
        <rFont val="Times New Roman Light"/>
        <b/>
        <color rgb="FF000000"/>
        <sz val="12.0"/>
      </rPr>
      <t xml:space="preserve">Planta Baixa para CCAA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</si>
  <si>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t>Condomínio_CCAA</t>
  </si>
  <si>
    <t>Condomínio_CCAA Mapa de localização</t>
  </si>
  <si>
    <t>Condomínio_CCAA Lista de dispositivos</t>
  </si>
  <si>
    <t>AP</t>
  </si>
  <si>
    <t>Nome do dispositivo</t>
  </si>
  <si>
    <t>Modelo</t>
  </si>
  <si>
    <t>Montagem</t>
  </si>
  <si>
    <t>Altura</t>
  </si>
  <si>
    <t>Ângulo</t>
  </si>
  <si>
    <t>Canal (2,4 GHz/5 GHz/6 GHz)</t>
  </si>
  <si>
    <t>Potência (2,4 GHz/5 GHz/6 GHz)</t>
  </si>
  <si>
    <t xml:space="preserve"> (1)</t>
  </si>
  <si>
    <t>Suporte de Teto</t>
  </si>
  <si>
    <t>3.0 m</t>
  </si>
  <si>
    <t>--</t>
  </si>
  <si>
    <t>1/36/33</t>
  </si>
  <si>
    <t>20 dBm/23 dBm/23 dBm</t>
  </si>
  <si>
    <t>Outros</t>
  </si>
  <si>
    <t>Categoria</t>
  </si>
  <si>
    <t>Switch</t>
  </si>
  <si>
    <t xml:space="preserve"> (2)</t>
  </si>
  <si>
    <t xml:space="preserve"> (3)</t>
  </si>
  <si>
    <t>Gateway</t>
  </si>
  <si>
    <t xml:space="preserve"> (4)</t>
  </si>
  <si>
    <t xml:space="preserve"> (5)</t>
  </si>
  <si>
    <t xml:space="preserve"> (6)</t>
  </si>
  <si>
    <t xml:space="preserve"> (7)</t>
  </si>
  <si>
    <r>
      <rPr>
        <rFont val="Times New Roman Light"/>
        <b/>
        <color rgb="FF000000"/>
        <sz val="12.0"/>
      </rPr>
      <t xml:space="preserve">Planta Baixa para CCAA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</si>
  <si>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t>Acesse o link a seguir (válido por 7 dias) para obter uma topologia mais detalhada:</t>
  </si>
  <si>
    <r>
      <rPr>
        <rFont val="manrope"/>
        <color rgb="FF0000FF"/>
        <sz val="12.0"/>
        <u/>
      </rPr>
      <t>https://use1-design.tplinkcloud.com/#/share/topology/019c20fe-f70d-791a-a270-72f83ff6df57</t>
    </r>
  </si>
  <si>
    <r>
      <rPr>
        <rFont val="Times New Roman Light"/>
        <b/>
        <color rgb="FF000000"/>
        <sz val="12.0"/>
      </rPr>
      <t xml:space="preserve">Planta Baixa para CCAA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</si>
  <si>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r>
      <rPr>
        <rFont val="Times New Roman Light"/>
        <b/>
        <color rgb="FF000000"/>
        <sz val="12.0"/>
      </rPr>
      <t xml:space="preserve">Planta Baixa para CCAA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</si>
  <si>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r>
      <rPr>
        <rFont val="Times New Roman Light"/>
        <b/>
        <color rgb="FF000000"/>
        <sz val="12.0"/>
      </rPr>
      <t xml:space="preserve">Planta Baixa para CCAA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</si>
  <si>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r>
      <rPr>
        <rFont val="Times New Roman Light"/>
        <b/>
        <color rgb="FF000000"/>
        <sz val="12.0"/>
      </rPr>
      <t xml:space="preserve">Planta Baixa para CCAA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</si>
</sst>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'Google Sans Text'"/>
    </font>
    <font>
      <u/>
      <color rgb="FF0000FF"/>
      <name val="Roboto"/>
    </font>
    <font>
      <b/>
      <sz val="15.0"/>
      <color theme="1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  <font>
      <sz val="11.0"/>
      <color rgb="FF000000"/>
      <name val="Calibri"/>
    </font>
    <font>
      <sz val="8.0"/>
      <color theme="1"/>
      <name val="Manrope"/>
    </font>
    <font>
      <sz val="8.0"/>
      <color rgb="FF000000"/>
      <name val="Manrope"/>
    </font>
    <font>
      <sz val="12.0"/>
      <color theme="1"/>
      <name val="Manrope"/>
    </font>
    <font>
      <sz val="16.0"/>
      <color theme="1"/>
      <name val="Manrope"/>
    </font>
    <font>
      <sz val="14.0"/>
      <color theme="1"/>
      <name val="Manrope"/>
    </font>
    <font>
      <sz val="11.0"/>
      <color theme="1"/>
      <name val="Manrope"/>
    </font>
    <font/>
    <font>
      <u/>
      <sz val="12.0"/>
      <color rgb="FF0000FF"/>
      <name val="Manrope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1F5E1"/>
        <bgColor rgb="FFE1F5E1"/>
      </patternFill>
    </fill>
    <fill>
      <patternFill patternType="solid">
        <fgColor rgb="FFC3D7C3"/>
        <bgColor rgb="FFC3D7C3"/>
      </patternFill>
    </fill>
  </fills>
  <borders count="16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/>
      <right/>
      <top/>
      <bottom/>
    </border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readingOrder="0" shrinkToFit="0" vertical="center" wrapText="1"/>
    </xf>
    <xf borderId="1" fillId="2" fontId="7" numFmtId="0" xfId="0" applyAlignment="1" applyBorder="1" applyFill="1" applyFont="1">
      <alignment shrinkToFit="0" vertical="center" wrapText="1"/>
    </xf>
    <xf borderId="2" fillId="2" fontId="5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horizontal="right" shrinkToFit="0" vertical="center" wrapText="1"/>
    </xf>
    <xf borderId="2" fillId="2" fontId="7" numFmtId="0" xfId="0" applyAlignment="1" applyBorder="1" applyFont="1">
      <alignment horizontal="right" shrinkToFit="0" vertical="center" wrapText="1"/>
    </xf>
    <xf borderId="3" fillId="2" fontId="5" numFmtId="0" xfId="0" applyAlignment="1" applyBorder="1" applyFont="1">
      <alignment shrinkToFit="0" vertical="center" wrapText="0"/>
    </xf>
    <xf borderId="4" fillId="3" fontId="7" numFmtId="0" xfId="0" applyAlignment="1" applyBorder="1" applyFill="1" applyFont="1">
      <alignment shrinkToFit="0" vertical="center" wrapText="1"/>
    </xf>
    <xf borderId="5" fillId="3" fontId="5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horizontal="right" shrinkToFit="0" vertical="center" wrapText="1"/>
    </xf>
    <xf borderId="6" fillId="3" fontId="5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horizontal="right" readingOrder="0" shrinkToFit="0" vertical="center" wrapText="1"/>
    </xf>
    <xf borderId="5" fillId="3" fontId="7" numFmtId="0" xfId="0" applyAlignment="1" applyBorder="1" applyFont="1">
      <alignment horizontal="right" readingOrder="0" shrinkToFit="0" vertical="center" wrapText="1"/>
    </xf>
    <xf borderId="1" fillId="2" fontId="7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1"/>
    </xf>
    <xf borderId="2" fillId="2" fontId="7" numFmtId="0" xfId="0" applyAlignment="1" applyBorder="1" applyFont="1">
      <alignment shrinkToFit="0" vertical="center" wrapText="1"/>
    </xf>
    <xf borderId="5" fillId="3" fontId="7" numFmtId="0" xfId="0" applyAlignment="1" applyBorder="1" applyFont="1">
      <alignment horizontal="right" shrinkToFit="0" vertical="center" wrapText="1"/>
    </xf>
    <xf borderId="7" fillId="3" fontId="5" numFmtId="0" xfId="0" applyAlignment="1" applyBorder="1" applyFont="1">
      <alignment shrinkToFit="0" vertical="center" wrapText="0"/>
    </xf>
    <xf borderId="8" fillId="3" fontId="5" numFmtId="0" xfId="0" applyAlignment="1" applyBorder="1" applyFont="1">
      <alignment shrinkToFit="0" vertical="center" wrapText="0"/>
    </xf>
    <xf borderId="8" fillId="3" fontId="5" numFmtId="4" xfId="0" applyAlignment="1" applyBorder="1" applyFont="1" applyNumberFormat="1">
      <alignment shrinkToFit="0" vertical="center" wrapText="0"/>
    </xf>
    <xf borderId="8" fillId="3" fontId="7" numFmtId="0" xfId="0" applyAlignment="1" applyBorder="1" applyFont="1">
      <alignment horizontal="right" shrinkToFit="0" vertical="center" wrapText="1"/>
    </xf>
    <xf borderId="9" fillId="3" fontId="5" numFmtId="0" xfId="0" applyAlignment="1" applyBorder="1" applyFont="1">
      <alignment shrinkToFit="0" vertical="center" wrapText="0"/>
    </xf>
    <xf borderId="0" fillId="0" fontId="8" numFmtId="0" xfId="0" applyFont="1"/>
    <xf borderId="0" fillId="0" fontId="8" numFmtId="0" xfId="0" applyAlignment="1" applyFont="1">
      <alignment horizontal="left" shrinkToFit="0" vertical="center" wrapText="1"/>
    </xf>
    <xf borderId="10" fillId="4" fontId="9" numFmtId="0" xfId="0" applyAlignment="1" applyBorder="1" applyFill="1" applyFont="1">
      <alignment horizontal="left" vertical="center"/>
    </xf>
    <xf borderId="10" fillId="4" fontId="9" numFmtId="0" xfId="0" applyAlignment="1" applyBorder="1" applyFont="1">
      <alignment horizontal="left" readingOrder="0" vertical="center"/>
    </xf>
    <xf borderId="10" fillId="4" fontId="9" numFmtId="0" xfId="0" applyAlignment="1" applyBorder="1" applyFont="1">
      <alignment horizontal="right" vertical="center"/>
    </xf>
    <xf borderId="11" fillId="0" fontId="8" numFmtId="0" xfId="0" applyBorder="1" applyFont="1"/>
    <xf borderId="11" fillId="0" fontId="9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readingOrder="0"/>
    </xf>
    <xf borderId="11" fillId="0" fontId="9" numFmtId="0" xfId="0" applyAlignment="1" applyBorder="1" applyFont="1">
      <alignment readingOrder="0"/>
    </xf>
    <xf borderId="11" fillId="0" fontId="9" numFmtId="0" xfId="0" applyAlignment="1" applyBorder="1" applyFont="1">
      <alignment horizontal="right" shrinkToFit="0" vertical="center" wrapText="1"/>
    </xf>
    <xf borderId="0" fillId="0" fontId="9" numFmtId="0" xfId="0" applyAlignment="1" applyFont="1">
      <alignment horizontal="right" vertical="center"/>
    </xf>
    <xf borderId="0" fillId="0" fontId="8" numFmtId="0" xfId="0" applyAlignment="1" applyFont="1">
      <alignment horizontal="right" shrinkToFit="0" vertical="center" wrapText="1"/>
    </xf>
    <xf borderId="0" fillId="0" fontId="11" numFmtId="0" xfId="0" applyAlignment="1" applyFont="1">
      <alignment horizontal="right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right" shrinkToFit="0" vertical="center" wrapText="1"/>
    </xf>
    <xf borderId="0" fillId="0" fontId="13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  <xf borderId="10" fillId="5" fontId="8" numFmtId="0" xfId="0" applyAlignment="1" applyBorder="1" applyFill="1" applyFont="1">
      <alignment vertical="center"/>
    </xf>
    <xf borderId="12" fillId="5" fontId="9" numFmtId="0" xfId="0" applyAlignment="1" applyBorder="1" applyFont="1">
      <alignment horizontal="left" vertical="center"/>
    </xf>
    <xf borderId="13" fillId="0" fontId="15" numFmtId="0" xfId="0" applyBorder="1" applyFont="1"/>
    <xf borderId="14" fillId="0" fontId="15" numFmtId="0" xfId="0" applyBorder="1" applyFont="1"/>
    <xf borderId="12" fillId="4" fontId="9" numFmtId="0" xfId="0" applyAlignment="1" applyBorder="1" applyFont="1">
      <alignment horizontal="left" vertical="center"/>
    </xf>
    <xf borderId="11" fillId="0" fontId="15" numFmtId="0" xfId="0" applyBorder="1" applyFont="1"/>
    <xf borderId="15" fillId="0" fontId="11" numFmtId="0" xfId="0" applyAlignment="1" applyBorder="1" applyFont="1">
      <alignment horizontal="left" shrinkToFit="0" vertical="center" wrapText="1"/>
    </xf>
    <xf borderId="15" fillId="0" fontId="15" numFmtId="0" xfId="0" applyBorder="1" applyFont="1"/>
    <xf borderId="15" fillId="0" fontId="16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G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APLA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AG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UPO AGROFLOREST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OGEC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CULTURA DE TECIDOS DE PLAN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13.png"/><Relationship Id="rId4" Type="http://schemas.openxmlformats.org/officeDocument/2006/relationships/image" Target="../media/image2.png"/><Relationship Id="rId5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jpg"/><Relationship Id="rId3" Type="http://schemas.openxmlformats.org/officeDocument/2006/relationships/image" Target="../media/image2.png"/><Relationship Id="rId4" Type="http://schemas.openxmlformats.org/officeDocument/2006/relationships/image" Target="../media/image13.png"/><Relationship Id="rId5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jpg"/><Relationship Id="rId3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jpg"/><Relationship Id="rId3" Type="http://schemas.openxmlformats.org/officeDocument/2006/relationships/image" Target="../media/image3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jpg"/><Relationship Id="rId3" Type="http://schemas.openxmlformats.org/officeDocument/2006/relationships/image" Target="../media/image7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jpg"/><Relationship Id="rId3" Type="http://schemas.openxmlformats.org/officeDocument/2006/relationships/image" Target="../media/image14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jpg"/><Relationship Id="rId3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552450" cy="5524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552450" cy="552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6858000" cy="4467225"/>
    <xdr:pic>
      <xdr:nvPicPr>
        <xdr:cNvPr descr="Picture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52450" cy="55245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552450" cy="55245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0</xdr:row>
      <xdr:rowOff>1314450</xdr:rowOff>
    </xdr:from>
    <xdr:ext cx="2238375" cy="3571875"/>
    <xdr:pic>
      <xdr:nvPicPr>
        <xdr:cNvPr descr="Picture" id="0" name="image15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10</xdr:row>
      <xdr:rowOff>38100</xdr:rowOff>
    </xdr:from>
    <xdr:ext cx="17878425" cy="9915525"/>
    <xdr:pic>
      <xdr:nvPicPr>
        <xdr:cNvPr descr="Picture" id="0" name="image16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5934075" cy="3924300"/>
    <xdr:pic>
      <xdr:nvPicPr>
        <xdr:cNvPr descr="Picture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0</xdr:row>
      <xdr:rowOff>1066800</xdr:rowOff>
    </xdr:from>
    <xdr:ext cx="2324100" cy="1552575"/>
    <xdr:pic>
      <xdr:nvPicPr>
        <xdr:cNvPr descr="Picture" id="0" name="image3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5934075" cy="3924300"/>
    <xdr:pic>
      <xdr:nvPicPr>
        <xdr:cNvPr descr="Picture" id="0" name="image1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561975</xdr:colOff>
      <xdr:row>0</xdr:row>
      <xdr:rowOff>762000</xdr:rowOff>
    </xdr:from>
    <xdr:ext cx="2324100" cy="1552575"/>
    <xdr:pic>
      <xdr:nvPicPr>
        <xdr:cNvPr descr="Picture" id="0" name="image7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5934075" cy="3924300"/>
    <xdr:pic>
      <xdr:nvPicPr>
        <xdr:cNvPr descr="Picture"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0</xdr:row>
      <xdr:rowOff>609600</xdr:rowOff>
    </xdr:from>
    <xdr:ext cx="2324100" cy="1552575"/>
    <xdr:pic>
      <xdr:nvPicPr>
        <xdr:cNvPr descr="Picture" id="0" name="image14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847725" cy="914400"/>
    <xdr:pic>
      <xdr:nvPicPr>
        <xdr:cNvPr descr="Picture"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5934075" cy="3924300"/>
    <xdr:pic>
      <xdr:nvPicPr>
        <xdr:cNvPr descr="Picture"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" displayName="Tabela_2" name="Tabela_2" id="1">
  <tableColumns count="7">
    <tableColumn name="Item" id="1"/>
    <tableColumn name="Descrição" id="2"/>
    <tableColumn name="Quantidade" id="3"/>
    <tableColumn name="Valor Unitário " id="4"/>
    <tableColumn name="Valor Total" id="5"/>
    <tableColumn name="N° da ata" id="6"/>
    <tableColumn name="N° do item da ata" id="7"/>
  </tableColumns>
  <tableStyleInfo name="GERAL-style" showColumnStripes="0" showFirstColumn="1" showLastColumn="1" showRowStripes="1"/>
</table>
</file>

<file path=xl/tables/table2.xml><?xml version="1.0" encoding="utf-8"?>
<table xmlns="http://schemas.openxmlformats.org/spreadsheetml/2006/main" ref="A1:G20" displayName="Tabela_5" name="Tabela_5" id="2">
  <tableColumns count="7">
    <tableColumn name="Item" id="1"/>
    <tableColumn name="Descrição" id="2"/>
    <tableColumn name="Quantidade" id="3"/>
    <tableColumn name="Valor Unitário " id="4"/>
    <tableColumn name="Valor Total" id="5"/>
    <tableColumn name="N° da ata" id="6"/>
    <tableColumn name="N° do item da ata" id="7"/>
  </tableColumns>
  <tableStyleInfo name="GENAPLANT-style" showColumnStripes="0" showFirstColumn="1" showLastColumn="1" showRowStripes="1"/>
</table>
</file>

<file path=xl/tables/table3.xml><?xml version="1.0" encoding="utf-8"?>
<table xmlns="http://schemas.openxmlformats.org/spreadsheetml/2006/main" ref="A1:G20" displayName="GEAGRI" name="GEAGRI" id="3">
  <tableColumns count="7">
    <tableColumn name="Item" id="1"/>
    <tableColumn name="Descrição" id="2"/>
    <tableColumn name="Quantidade" id="3"/>
    <tableColumn name="Valor Unitário " id="4"/>
    <tableColumn name="Valor Total" id="5"/>
    <tableColumn name="N° da ata" id="6"/>
    <tableColumn name="N° do item da ata" id="7"/>
  </tableColumns>
  <tableStyleInfo name="GEAGRI-style" showColumnStripes="0" showFirstColumn="1" showLastColumn="1" showRowStripes="1"/>
</table>
</file>

<file path=xl/tables/table4.xml><?xml version="1.0" encoding="utf-8"?>
<table xmlns="http://schemas.openxmlformats.org/spreadsheetml/2006/main" ref="B1:H20" displayName="Tabela_4" name="Tabela_4" id="4">
  <tableColumns count="7">
    <tableColumn name="Item" id="1"/>
    <tableColumn name="Descrição" id="2"/>
    <tableColumn name="Quantidade" id="3"/>
    <tableColumn name="Valor Unitário " id="4"/>
    <tableColumn name="Valor Total" id="5"/>
    <tableColumn name="N° da ata" id="6"/>
    <tableColumn name="N° do item da ata" id="7"/>
  </tableColumns>
  <tableStyleInfo name="GRUPO AGROFLORESTAL-style" showColumnStripes="0" showFirstColumn="1" showLastColumn="1" showRowStripes="1"/>
</table>
</file>

<file path=xl/tables/table5.xml><?xml version="1.0" encoding="utf-8"?>
<table xmlns="http://schemas.openxmlformats.org/spreadsheetml/2006/main" ref="A1:G19" displayName="Tabela_3" name="Tabela_3" id="5">
  <tableColumns count="7">
    <tableColumn name="Item" id="1"/>
    <tableColumn name="Descrição" id="2"/>
    <tableColumn name="Quantidade" id="3"/>
    <tableColumn name="Valor Unitário " id="4"/>
    <tableColumn name="Valor Total" id="5"/>
    <tableColumn name="N° da ata" id="6"/>
    <tableColumn name="N° do item da ata" id="7"/>
  </tableColumns>
  <tableStyleInfo name="BIOGECOM-style" showColumnStripes="0" showFirstColumn="1" showLastColumn="1" showRowStripes="1"/>
</table>
</file>

<file path=xl/tables/table6.xml><?xml version="1.0" encoding="utf-8"?>
<table xmlns="http://schemas.openxmlformats.org/spreadsheetml/2006/main" ref="A1:G20" displayName="Tabela" name="Tabela" id="6">
  <tableColumns count="7">
    <tableColumn name="Item" id="1"/>
    <tableColumn name="Descrição" id="2"/>
    <tableColumn name="Quantidade" id="3"/>
    <tableColumn name="Valor Unitário " id="4"/>
    <tableColumn name="Valor Total" id="5"/>
    <tableColumn name="N° da ata" id="6"/>
    <tableColumn name="N° do item da ata" id="7"/>
  </tableColumns>
  <tableStyleInfo name=" CULTURA DE TECIDOS DE PLAN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ncp.gov.br/app/editais/00508903000188/2025/1321" TargetMode="External"/><Relationship Id="rId2" Type="http://schemas.openxmlformats.org/officeDocument/2006/relationships/hyperlink" Target="https://pncp.gov.br/app/editais/00396895000125/2025/270" TargetMode="External"/><Relationship Id="rId3" Type="http://schemas.openxmlformats.org/officeDocument/2006/relationships/hyperlink" Target="https://pncp.gov.br/app/editais/00396895000125/2025/270" TargetMode="External"/><Relationship Id="rId4" Type="http://schemas.openxmlformats.org/officeDocument/2006/relationships/hyperlink" Target="https://pncp.gov.br/app/editais/00489828000155/2025/743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ncp.gov.br/app/editais/00508903000188/2025/1321" TargetMode="External"/><Relationship Id="rId2" Type="http://schemas.openxmlformats.org/officeDocument/2006/relationships/hyperlink" Target="https://pncp.gov.br/app/editais/00396895000125/2025/270" TargetMode="External"/><Relationship Id="rId3" Type="http://schemas.openxmlformats.org/officeDocument/2006/relationships/hyperlink" Target="https://pncp.gov.br/app/editais/00396895000125/2025/270" TargetMode="External"/><Relationship Id="rId4" Type="http://schemas.openxmlformats.org/officeDocument/2006/relationships/hyperlink" Target="https://pncp.gov.br/app/editais/00489828000155/2025/743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ncp.gov.br/app/editais/00508903000188/2025/1321" TargetMode="External"/><Relationship Id="rId2" Type="http://schemas.openxmlformats.org/officeDocument/2006/relationships/hyperlink" Target="https://pncp.gov.br/app/editais/00396895000125/2025/270" TargetMode="External"/><Relationship Id="rId3" Type="http://schemas.openxmlformats.org/officeDocument/2006/relationships/hyperlink" Target="https://pncp.gov.br/app/editais/00396895000125/2025/270" TargetMode="External"/><Relationship Id="rId4" Type="http://schemas.openxmlformats.org/officeDocument/2006/relationships/hyperlink" Target="https://pncp.gov.br/app/editais/00489828000155/2025/743" TargetMode="External"/><Relationship Id="rId5" Type="http://schemas.openxmlformats.org/officeDocument/2006/relationships/drawing" Target="../drawings/drawing3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ncp.gov.br/app/editais/00508903000188/2025/1321" TargetMode="External"/><Relationship Id="rId2" Type="http://schemas.openxmlformats.org/officeDocument/2006/relationships/hyperlink" Target="https://pncp.gov.br/app/editais/00396895000125/2025/270" TargetMode="External"/><Relationship Id="rId3" Type="http://schemas.openxmlformats.org/officeDocument/2006/relationships/hyperlink" Target="https://pncp.gov.br/app/editais/00396895000125/2025/270" TargetMode="External"/><Relationship Id="rId4" Type="http://schemas.openxmlformats.org/officeDocument/2006/relationships/hyperlink" Target="https://pncp.gov.br/app/editais/00489828000155/2025/743" TargetMode="External"/><Relationship Id="rId5" Type="http://schemas.openxmlformats.org/officeDocument/2006/relationships/drawing" Target="../drawings/drawing4.x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ncp.gov.br/app/editais/00396895000125/2025/270" TargetMode="External"/><Relationship Id="rId2" Type="http://schemas.openxmlformats.org/officeDocument/2006/relationships/hyperlink" Target="https://pncp.gov.br/app/editais/00396895000125/2025/270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ncp.gov.br/app/editais/00508903000188/2025/1321" TargetMode="External"/><Relationship Id="rId2" Type="http://schemas.openxmlformats.org/officeDocument/2006/relationships/hyperlink" Target="https://pncp.gov.br/app/editais/00396895000125/2025/270" TargetMode="External"/><Relationship Id="rId3" Type="http://schemas.openxmlformats.org/officeDocument/2006/relationships/hyperlink" Target="https://pncp.gov.br/app/editais/00396895000125/2025/270" TargetMode="External"/><Relationship Id="rId4" Type="http://schemas.openxmlformats.org/officeDocument/2006/relationships/hyperlink" Target="https://pncp.gov.br/app/editais/00489828000155/2025/743" TargetMode="External"/><Relationship Id="rId5" Type="http://schemas.openxmlformats.org/officeDocument/2006/relationships/drawing" Target="../drawings/drawing6.xml"/><Relationship Id="rId7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use1-design.tplinkcloud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hidden="1" min="2" max="2" width="42.88"/>
    <col customWidth="1" min="3" max="5" width="22.63"/>
    <col customWidth="1" min="6" max="6" width="30.75"/>
    <col customWidth="1" min="7" max="7" width="31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 t="s">
        <v>7</v>
      </c>
      <c r="B2" s="5"/>
      <c r="C2" s="4">
        <v>5.0</v>
      </c>
      <c r="D2" s="4">
        <v>808.9</v>
      </c>
      <c r="E2" s="6">
        <f t="shared" ref="E2:E19" si="1">PRODUCT(D2,C2)</f>
        <v>4044.5</v>
      </c>
      <c r="F2" s="7" t="s">
        <v>8</v>
      </c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2.5" customHeight="1">
      <c r="A3" s="4" t="s">
        <v>9</v>
      </c>
      <c r="B3" s="4" t="s">
        <v>10</v>
      </c>
      <c r="C3" s="4">
        <v>2.0</v>
      </c>
      <c r="D3" s="4">
        <v>6390.0</v>
      </c>
      <c r="E3" s="6">
        <f t="shared" si="1"/>
        <v>12780</v>
      </c>
      <c r="F3" s="7" t="s">
        <v>11</v>
      </c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2.5" customHeight="1">
      <c r="A4" s="4" t="s">
        <v>12</v>
      </c>
      <c r="B4" s="4" t="s">
        <v>10</v>
      </c>
      <c r="C4" s="4">
        <v>1.0</v>
      </c>
      <c r="D4" s="9">
        <v>1698.99</v>
      </c>
      <c r="E4" s="6">
        <f t="shared" si="1"/>
        <v>1698.99</v>
      </c>
      <c r="F4" s="7" t="s">
        <v>13</v>
      </c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2.5" customHeight="1">
      <c r="A5" s="7" t="s">
        <v>14</v>
      </c>
      <c r="B5" s="4" t="s">
        <v>10</v>
      </c>
      <c r="C5" s="4">
        <v>1.0</v>
      </c>
      <c r="D5" s="9">
        <v>3300.0</v>
      </c>
      <c r="E5" s="6">
        <f t="shared" si="1"/>
        <v>3300</v>
      </c>
      <c r="F5" s="7" t="s">
        <v>15</v>
      </c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2.5" customHeight="1">
      <c r="A6" s="4" t="s">
        <v>16</v>
      </c>
      <c r="B6" s="4" t="s">
        <v>10</v>
      </c>
      <c r="C6" s="4">
        <v>200.0</v>
      </c>
      <c r="D6" s="4">
        <v>2.4</v>
      </c>
      <c r="E6" s="6">
        <f t="shared" si="1"/>
        <v>480</v>
      </c>
      <c r="F6" s="7" t="s">
        <v>17</v>
      </c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>
      <c r="A7" s="4" t="s">
        <v>18</v>
      </c>
      <c r="B7" s="4" t="s">
        <v>10</v>
      </c>
      <c r="C7" s="4">
        <v>1.0</v>
      </c>
      <c r="D7" s="4">
        <v>110.57</v>
      </c>
      <c r="E7" s="6">
        <f t="shared" si="1"/>
        <v>110.57</v>
      </c>
      <c r="F7" s="4" t="s">
        <v>19</v>
      </c>
      <c r="G7" s="4">
        <v>1.0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>
      <c r="A8" s="7" t="s">
        <v>20</v>
      </c>
      <c r="B8" s="8"/>
      <c r="C8" s="4">
        <v>17.0</v>
      </c>
      <c r="D8" s="9">
        <v>3359.0</v>
      </c>
      <c r="E8" s="6">
        <f t="shared" si="1"/>
        <v>57103</v>
      </c>
      <c r="F8" s="7" t="s">
        <v>21</v>
      </c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7" t="s">
        <v>22</v>
      </c>
      <c r="B9" s="8"/>
      <c r="C9" s="4">
        <v>17.0</v>
      </c>
      <c r="D9" s="4">
        <v>786.0</v>
      </c>
      <c r="E9" s="6">
        <f t="shared" si="1"/>
        <v>13362</v>
      </c>
      <c r="F9" s="7" t="s">
        <v>21</v>
      </c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2.5" customHeight="1">
      <c r="A10" s="7" t="s">
        <v>23</v>
      </c>
      <c r="B10" s="8"/>
      <c r="C10" s="4">
        <v>17.0</v>
      </c>
      <c r="D10" s="4">
        <v>124.5</v>
      </c>
      <c r="E10" s="6">
        <f t="shared" si="1"/>
        <v>2116.5</v>
      </c>
      <c r="F10" s="7" t="s">
        <v>24</v>
      </c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2.5" customHeight="1">
      <c r="A11" s="7" t="s">
        <v>25</v>
      </c>
      <c r="B11" s="8"/>
      <c r="C11" s="4">
        <v>17.0</v>
      </c>
      <c r="D11" s="4">
        <v>13.0</v>
      </c>
      <c r="E11" s="6">
        <f t="shared" si="1"/>
        <v>221</v>
      </c>
      <c r="F11" s="4" t="s">
        <v>26</v>
      </c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5" customHeight="1">
      <c r="A12" s="7" t="s">
        <v>27</v>
      </c>
      <c r="B12" s="4" t="s">
        <v>28</v>
      </c>
      <c r="C12" s="4">
        <v>1.0</v>
      </c>
      <c r="D12" s="9">
        <v>65800.0</v>
      </c>
      <c r="E12" s="6">
        <f t="shared" si="1"/>
        <v>65800</v>
      </c>
      <c r="F12" s="10" t="s">
        <v>29</v>
      </c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7" t="s">
        <v>30</v>
      </c>
      <c r="B13" s="4" t="s">
        <v>31</v>
      </c>
      <c r="C13" s="4">
        <v>1.0</v>
      </c>
      <c r="D13" s="4">
        <v>7500.0</v>
      </c>
      <c r="E13" s="6">
        <f t="shared" si="1"/>
        <v>7500</v>
      </c>
      <c r="F13" s="10" t="s">
        <v>32</v>
      </c>
      <c r="G13" s="4">
        <v>1.0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7" t="s">
        <v>33</v>
      </c>
      <c r="B14" s="4" t="s">
        <v>34</v>
      </c>
      <c r="C14" s="4">
        <v>1.0</v>
      </c>
      <c r="D14" s="4">
        <v>14654.0</v>
      </c>
      <c r="E14" s="6">
        <f t="shared" si="1"/>
        <v>14654</v>
      </c>
      <c r="F14" s="10" t="s">
        <v>35</v>
      </c>
      <c r="G14" s="4">
        <v>5.0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2.5" customHeight="1">
      <c r="A15" s="7" t="s">
        <v>36</v>
      </c>
      <c r="B15" s="8"/>
      <c r="C15" s="4">
        <v>17.0</v>
      </c>
      <c r="D15" s="4">
        <v>1220.0</v>
      </c>
      <c r="E15" s="6">
        <f t="shared" si="1"/>
        <v>20740</v>
      </c>
      <c r="F15" s="4" t="s">
        <v>37</v>
      </c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7" t="s">
        <v>38</v>
      </c>
      <c r="B16" s="8"/>
      <c r="C16" s="4">
        <v>17.0</v>
      </c>
      <c r="D16" s="4">
        <v>1050.0</v>
      </c>
      <c r="E16" s="6">
        <f t="shared" si="1"/>
        <v>17850</v>
      </c>
      <c r="F16" s="7" t="s">
        <v>39</v>
      </c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2.5" customHeight="1">
      <c r="A17" s="7" t="s">
        <v>40</v>
      </c>
      <c r="B17" s="8"/>
      <c r="C17" s="4">
        <v>5.0</v>
      </c>
      <c r="D17" s="4">
        <v>679.0</v>
      </c>
      <c r="E17" s="6">
        <f t="shared" si="1"/>
        <v>3395</v>
      </c>
      <c r="F17" s="7" t="s">
        <v>41</v>
      </c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2.5" customHeight="1">
      <c r="A18" s="7" t="s">
        <v>42</v>
      </c>
      <c r="B18" s="8"/>
      <c r="C18" s="4">
        <v>5.0</v>
      </c>
      <c r="D18" s="4">
        <v>248.03</v>
      </c>
      <c r="E18" s="6">
        <f t="shared" si="1"/>
        <v>1240.15</v>
      </c>
      <c r="F18" s="4" t="s">
        <v>43</v>
      </c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2.5" customHeight="1">
      <c r="A19" s="7" t="s">
        <v>44</v>
      </c>
      <c r="B19" s="8"/>
      <c r="C19" s="4">
        <v>1.0</v>
      </c>
      <c r="D19" s="11">
        <v>5296.0</v>
      </c>
      <c r="E19" s="6">
        <f t="shared" si="1"/>
        <v>5296</v>
      </c>
      <c r="F19" s="10" t="s">
        <v>45</v>
      </c>
      <c r="G19" s="4">
        <v>2.0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2.5" customHeight="1">
      <c r="B20" s="8"/>
      <c r="C20" s="4"/>
      <c r="D20" s="12" t="s">
        <v>46</v>
      </c>
      <c r="E20" s="13">
        <f>SUM(E2:E19)</f>
        <v>231691.71</v>
      </c>
      <c r="F20" s="14"/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</sheetData>
  <dataValidations>
    <dataValidation type="custom" allowBlank="1" showDropDown="1" sqref="E2:E20">
      <formula1>AND(ISNUMBER(E2),(NOT(OR(NOT(ISERROR(DATEVALUE(E2))), AND(ISNUMBER(E2), LEFT(CELL("format", E2))="D")))))</formula1>
    </dataValidation>
  </dataValidations>
  <hyperlinks>
    <hyperlink r:id="rId1" ref="F12"/>
    <hyperlink r:id="rId2" ref="F13"/>
    <hyperlink r:id="rId3" ref="F14"/>
    <hyperlink r:id="rId4" ref="F19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42.88"/>
    <col customWidth="1" min="3" max="5" width="22.63"/>
    <col customWidth="1" min="6" max="6" width="36.13"/>
    <col customWidth="1" min="7" max="7" width="31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 t="s">
        <v>7</v>
      </c>
      <c r="B2" s="5"/>
      <c r="C2" s="4">
        <v>1.0</v>
      </c>
      <c r="D2" s="4">
        <v>808.9</v>
      </c>
      <c r="E2" s="6">
        <f t="shared" ref="E2:E19" si="1">PRODUCT(D2,C2)</f>
        <v>808.9</v>
      </c>
      <c r="F2" s="7" t="s">
        <v>8</v>
      </c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2.5" customHeight="1">
      <c r="A3" s="4" t="s">
        <v>9</v>
      </c>
      <c r="B3" s="4" t="s">
        <v>10</v>
      </c>
      <c r="C3" s="4">
        <v>0.4</v>
      </c>
      <c r="D3" s="4">
        <v>6390.0</v>
      </c>
      <c r="E3" s="6">
        <f t="shared" si="1"/>
        <v>2556</v>
      </c>
      <c r="F3" s="7" t="s">
        <v>11</v>
      </c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2.5" customHeight="1">
      <c r="A4" s="4" t="s">
        <v>12</v>
      </c>
      <c r="B4" s="4" t="s">
        <v>10</v>
      </c>
      <c r="C4" s="4">
        <v>0.2</v>
      </c>
      <c r="D4" s="9">
        <v>1698.99</v>
      </c>
      <c r="E4" s="6">
        <f t="shared" si="1"/>
        <v>339.798</v>
      </c>
      <c r="F4" s="7" t="s">
        <v>13</v>
      </c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2.5" customHeight="1">
      <c r="A5" s="7" t="s">
        <v>14</v>
      </c>
      <c r="B5" s="4" t="s">
        <v>10</v>
      </c>
      <c r="C5" s="4">
        <v>0.2</v>
      </c>
      <c r="D5" s="9">
        <v>3300.0</v>
      </c>
      <c r="E5" s="6">
        <f t="shared" si="1"/>
        <v>660</v>
      </c>
      <c r="F5" s="7" t="s">
        <v>15</v>
      </c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2.5" customHeight="1">
      <c r="A6" s="4" t="s">
        <v>16</v>
      </c>
      <c r="B6" s="4" t="s">
        <v>10</v>
      </c>
      <c r="C6" s="4">
        <v>40.0</v>
      </c>
      <c r="D6" s="4">
        <v>2.4</v>
      </c>
      <c r="E6" s="6">
        <f t="shared" si="1"/>
        <v>96</v>
      </c>
      <c r="F6" s="7" t="s">
        <v>17</v>
      </c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>
      <c r="A7" s="4" t="s">
        <v>18</v>
      </c>
      <c r="B7" s="4" t="s">
        <v>10</v>
      </c>
      <c r="C7" s="4">
        <v>0.2</v>
      </c>
      <c r="D7" s="4">
        <v>110.57</v>
      </c>
      <c r="E7" s="6">
        <f t="shared" si="1"/>
        <v>22.114</v>
      </c>
      <c r="F7" s="4" t="s">
        <v>19</v>
      </c>
      <c r="G7" s="4">
        <v>1.0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>
      <c r="A8" s="7" t="s">
        <v>20</v>
      </c>
      <c r="B8" s="8"/>
      <c r="C8" s="4">
        <v>4.0</v>
      </c>
      <c r="D8" s="9">
        <v>3359.0</v>
      </c>
      <c r="E8" s="6">
        <f t="shared" si="1"/>
        <v>13436</v>
      </c>
      <c r="F8" s="7" t="s">
        <v>21</v>
      </c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7" t="s">
        <v>22</v>
      </c>
      <c r="B9" s="8"/>
      <c r="C9" s="4">
        <v>4.0</v>
      </c>
      <c r="D9" s="4">
        <v>786.0</v>
      </c>
      <c r="E9" s="6">
        <f t="shared" si="1"/>
        <v>3144</v>
      </c>
      <c r="F9" s="7" t="s">
        <v>21</v>
      </c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2.5" customHeight="1">
      <c r="A10" s="7" t="s">
        <v>23</v>
      </c>
      <c r="B10" s="8"/>
      <c r="C10" s="4">
        <v>4.0</v>
      </c>
      <c r="D10" s="4">
        <v>124.5</v>
      </c>
      <c r="E10" s="6">
        <f t="shared" si="1"/>
        <v>498</v>
      </c>
      <c r="F10" s="7" t="s">
        <v>24</v>
      </c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2.5" customHeight="1">
      <c r="A11" s="7" t="s">
        <v>25</v>
      </c>
      <c r="B11" s="8"/>
      <c r="C11" s="4">
        <v>4.0</v>
      </c>
      <c r="D11" s="4">
        <v>13.0</v>
      </c>
      <c r="E11" s="6">
        <f t="shared" si="1"/>
        <v>52</v>
      </c>
      <c r="F11" s="4" t="s">
        <v>26</v>
      </c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5" customHeight="1">
      <c r="A12" s="7" t="s">
        <v>27</v>
      </c>
      <c r="B12" s="4" t="s">
        <v>47</v>
      </c>
      <c r="C12" s="4">
        <v>0.2</v>
      </c>
      <c r="D12" s="9">
        <v>65800.0</v>
      </c>
      <c r="E12" s="6">
        <f t="shared" si="1"/>
        <v>13160</v>
      </c>
      <c r="F12" s="10" t="s">
        <v>48</v>
      </c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7" t="s">
        <v>30</v>
      </c>
      <c r="B13" s="4"/>
      <c r="C13" s="4">
        <v>0.25</v>
      </c>
      <c r="D13" s="4">
        <v>7500.0</v>
      </c>
      <c r="E13" s="6">
        <f t="shared" si="1"/>
        <v>1875</v>
      </c>
      <c r="F13" s="10" t="s">
        <v>49</v>
      </c>
      <c r="G13" s="4">
        <v>1.0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7" t="s">
        <v>33</v>
      </c>
      <c r="B14" s="4"/>
      <c r="C14" s="4">
        <v>0.0</v>
      </c>
      <c r="D14" s="4">
        <v>14654.0</v>
      </c>
      <c r="E14" s="6">
        <f t="shared" si="1"/>
        <v>0</v>
      </c>
      <c r="F14" s="10" t="s">
        <v>50</v>
      </c>
      <c r="G14" s="4">
        <v>5.0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2.5" customHeight="1">
      <c r="A15" s="7" t="s">
        <v>36</v>
      </c>
      <c r="B15" s="8"/>
      <c r="C15" s="4">
        <v>4.0</v>
      </c>
      <c r="D15" s="4">
        <v>1220.0</v>
      </c>
      <c r="E15" s="6">
        <f t="shared" si="1"/>
        <v>4880</v>
      </c>
      <c r="F15" s="4" t="s">
        <v>37</v>
      </c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7" t="s">
        <v>38</v>
      </c>
      <c r="B16" s="8"/>
      <c r="C16" s="4">
        <v>4.0</v>
      </c>
      <c r="D16" s="4">
        <v>1050.0</v>
      </c>
      <c r="E16" s="6">
        <f t="shared" si="1"/>
        <v>4200</v>
      </c>
      <c r="F16" s="7" t="s">
        <v>39</v>
      </c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2.5" customHeight="1">
      <c r="A17" s="7" t="s">
        <v>40</v>
      </c>
      <c r="B17" s="8"/>
      <c r="C17" s="4">
        <v>1.0</v>
      </c>
      <c r="D17" s="4">
        <v>679.0</v>
      </c>
      <c r="E17" s="6">
        <f t="shared" si="1"/>
        <v>679</v>
      </c>
      <c r="F17" s="7" t="s">
        <v>41</v>
      </c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2.5" customHeight="1">
      <c r="A18" s="7" t="s">
        <v>42</v>
      </c>
      <c r="B18" s="8"/>
      <c r="C18" s="4">
        <v>1.0</v>
      </c>
      <c r="D18" s="4">
        <v>248.03</v>
      </c>
      <c r="E18" s="6">
        <f t="shared" si="1"/>
        <v>248.03</v>
      </c>
      <c r="F18" s="4" t="s">
        <v>43</v>
      </c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2.5" customHeight="1">
      <c r="A19" s="7" t="s">
        <v>44</v>
      </c>
      <c r="B19" s="8"/>
      <c r="C19" s="4">
        <v>0.0</v>
      </c>
      <c r="D19" s="11">
        <v>5296.0</v>
      </c>
      <c r="E19" s="6">
        <f t="shared" si="1"/>
        <v>0</v>
      </c>
      <c r="F19" s="10" t="s">
        <v>51</v>
      </c>
      <c r="G19" s="4">
        <v>2.0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2.5" customHeight="1">
      <c r="B20" s="8"/>
      <c r="C20" s="4"/>
      <c r="D20" s="12" t="s">
        <v>46</v>
      </c>
      <c r="E20" s="13">
        <f>SUM(E2:E19)</f>
        <v>46654.842</v>
      </c>
      <c r="F20" s="14"/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</sheetData>
  <dataValidations>
    <dataValidation type="custom" allowBlank="1" showDropDown="1" sqref="E2:E20">
      <formula1>AND(ISNUMBER(E2),(NOT(OR(NOT(ISERROR(DATEVALUE(E2))), AND(ISNUMBER(E2), LEFT(CELL("format", E2))="D")))))</formula1>
    </dataValidation>
  </dataValidations>
  <hyperlinks>
    <hyperlink r:id="rId1" ref="F12"/>
    <hyperlink r:id="rId2" ref="F13"/>
    <hyperlink r:id="rId3" ref="F14"/>
    <hyperlink r:id="rId4" ref="F19"/>
  </hyperlinks>
  <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42.88"/>
    <col customWidth="1" min="3" max="6" width="22.63"/>
    <col customWidth="1" min="7" max="7" width="31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15"/>
      <c r="K1" s="15"/>
      <c r="L1" s="15"/>
      <c r="M1" s="15"/>
      <c r="N1" s="15"/>
      <c r="O1" s="15"/>
      <c r="P1" s="15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 t="s">
        <v>7</v>
      </c>
      <c r="B2" s="5"/>
      <c r="C2" s="4">
        <v>1.0</v>
      </c>
      <c r="D2" s="4">
        <v>808.9</v>
      </c>
      <c r="E2" s="6">
        <f t="shared" ref="E2:E19" si="1">PRODUCT(D2,C2)</f>
        <v>808.9</v>
      </c>
      <c r="F2" s="7" t="s">
        <v>8</v>
      </c>
      <c r="G2" s="8"/>
      <c r="H2" s="3"/>
      <c r="I2" s="3"/>
      <c r="J2" s="15"/>
      <c r="K2" s="15"/>
      <c r="L2" s="15"/>
      <c r="M2" s="15"/>
      <c r="N2" s="15"/>
      <c r="O2" s="15"/>
      <c r="P2" s="15"/>
      <c r="Q2" s="3"/>
      <c r="R2" s="3"/>
      <c r="S2" s="3"/>
      <c r="T2" s="3"/>
      <c r="U2" s="3"/>
      <c r="V2" s="3"/>
      <c r="W2" s="3"/>
      <c r="X2" s="3"/>
      <c r="Y2" s="3"/>
    </row>
    <row r="3" ht="22.5" customHeight="1">
      <c r="A3" s="4" t="s">
        <v>9</v>
      </c>
      <c r="B3" s="4" t="s">
        <v>10</v>
      </c>
      <c r="C3" s="4">
        <v>0.4</v>
      </c>
      <c r="D3" s="4">
        <v>6390.0</v>
      </c>
      <c r="E3" s="6">
        <f t="shared" si="1"/>
        <v>2556</v>
      </c>
      <c r="F3" s="7" t="s">
        <v>11</v>
      </c>
      <c r="G3" s="8"/>
      <c r="H3" s="3"/>
      <c r="I3" s="3"/>
      <c r="J3" s="15"/>
      <c r="K3" s="15"/>
      <c r="L3" s="15"/>
      <c r="M3" s="15"/>
      <c r="N3" s="15"/>
      <c r="O3" s="15"/>
      <c r="P3" s="15"/>
      <c r="Q3" s="3"/>
      <c r="R3" s="3"/>
      <c r="S3" s="3"/>
      <c r="T3" s="3"/>
      <c r="U3" s="3"/>
      <c r="V3" s="3"/>
      <c r="W3" s="3"/>
      <c r="X3" s="3"/>
      <c r="Y3" s="3"/>
    </row>
    <row r="4" ht="22.5" customHeight="1">
      <c r="A4" s="4" t="s">
        <v>12</v>
      </c>
      <c r="B4" s="4" t="s">
        <v>10</v>
      </c>
      <c r="C4" s="4">
        <v>0.2</v>
      </c>
      <c r="D4" s="9">
        <v>1698.99</v>
      </c>
      <c r="E4" s="6">
        <f t="shared" si="1"/>
        <v>339.798</v>
      </c>
      <c r="F4" s="7" t="s">
        <v>13</v>
      </c>
      <c r="G4" s="8"/>
      <c r="H4" s="3"/>
      <c r="I4" s="3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</row>
    <row r="5" ht="22.5" customHeight="1">
      <c r="A5" s="7" t="s">
        <v>14</v>
      </c>
      <c r="B5" s="4" t="s">
        <v>10</v>
      </c>
      <c r="C5" s="4">
        <v>0.2</v>
      </c>
      <c r="D5" s="9">
        <v>3300.0</v>
      </c>
      <c r="E5" s="6">
        <f t="shared" si="1"/>
        <v>660</v>
      </c>
      <c r="F5" s="7" t="s">
        <v>15</v>
      </c>
      <c r="G5" s="8"/>
      <c r="H5" s="3"/>
      <c r="I5" s="3"/>
      <c r="J5" s="15"/>
      <c r="K5" s="15"/>
      <c r="L5" s="15"/>
      <c r="M5" s="15"/>
      <c r="N5" s="15"/>
      <c r="O5" s="15"/>
      <c r="P5" s="15"/>
      <c r="Q5" s="3"/>
      <c r="R5" s="3"/>
      <c r="S5" s="3"/>
      <c r="T5" s="3"/>
      <c r="U5" s="3"/>
      <c r="V5" s="3"/>
      <c r="W5" s="3"/>
      <c r="X5" s="3"/>
      <c r="Y5" s="3"/>
    </row>
    <row r="6" ht="22.5" customHeight="1">
      <c r="A6" s="4" t="s">
        <v>16</v>
      </c>
      <c r="B6" s="4" t="s">
        <v>10</v>
      </c>
      <c r="C6" s="4">
        <v>40.0</v>
      </c>
      <c r="D6" s="4">
        <v>2.4</v>
      </c>
      <c r="E6" s="6">
        <f t="shared" si="1"/>
        <v>96</v>
      </c>
      <c r="F6" s="7" t="s">
        <v>17</v>
      </c>
      <c r="G6" s="8"/>
      <c r="H6" s="3"/>
      <c r="I6" s="3"/>
      <c r="J6" s="15"/>
      <c r="K6" s="15"/>
      <c r="L6" s="15"/>
      <c r="M6" s="15"/>
      <c r="N6" s="15"/>
      <c r="O6" s="15"/>
      <c r="P6" s="15"/>
      <c r="Q6" s="3"/>
      <c r="R6" s="3"/>
      <c r="S6" s="3"/>
      <c r="T6" s="3"/>
      <c r="U6" s="3"/>
      <c r="V6" s="3"/>
      <c r="W6" s="3"/>
      <c r="X6" s="3"/>
      <c r="Y6" s="3"/>
    </row>
    <row r="7" ht="22.5" customHeight="1">
      <c r="A7" s="4" t="s">
        <v>18</v>
      </c>
      <c r="B7" s="4" t="s">
        <v>10</v>
      </c>
      <c r="C7" s="4">
        <v>0.2</v>
      </c>
      <c r="D7" s="4">
        <v>110.57</v>
      </c>
      <c r="E7" s="6">
        <f t="shared" si="1"/>
        <v>22.114</v>
      </c>
      <c r="F7" s="4" t="s">
        <v>19</v>
      </c>
      <c r="G7" s="8"/>
      <c r="H7" s="3"/>
      <c r="I7" s="3"/>
      <c r="J7" s="15"/>
      <c r="K7" s="15"/>
      <c r="L7" s="15"/>
      <c r="M7" s="15"/>
      <c r="N7" s="15"/>
      <c r="O7" s="15"/>
      <c r="P7" s="15"/>
      <c r="Q7" s="3"/>
      <c r="R7" s="3"/>
      <c r="S7" s="3"/>
      <c r="T7" s="3"/>
      <c r="U7" s="3"/>
      <c r="V7" s="3"/>
      <c r="W7" s="3"/>
      <c r="X7" s="3"/>
      <c r="Y7" s="3"/>
    </row>
    <row r="8" ht="22.5" customHeight="1">
      <c r="A8" s="7" t="s">
        <v>20</v>
      </c>
      <c r="B8" s="8"/>
      <c r="C8" s="4">
        <v>3.0</v>
      </c>
      <c r="D8" s="9">
        <v>3359.0</v>
      </c>
      <c r="E8" s="6">
        <f t="shared" si="1"/>
        <v>10077</v>
      </c>
      <c r="F8" s="7" t="s">
        <v>21</v>
      </c>
      <c r="G8" s="8"/>
      <c r="H8" s="3"/>
      <c r="I8" s="3"/>
      <c r="J8" s="15"/>
      <c r="K8" s="15"/>
      <c r="L8" s="15"/>
      <c r="M8" s="15"/>
      <c r="N8" s="15"/>
      <c r="O8" s="15"/>
      <c r="P8" s="15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7" t="s">
        <v>22</v>
      </c>
      <c r="B9" s="8"/>
      <c r="C9" s="4">
        <v>3.0</v>
      </c>
      <c r="D9" s="4">
        <v>786.0</v>
      </c>
      <c r="E9" s="6">
        <f t="shared" si="1"/>
        <v>2358</v>
      </c>
      <c r="F9" s="7" t="s">
        <v>21</v>
      </c>
      <c r="G9" s="8"/>
      <c r="H9" s="3"/>
      <c r="I9" s="3"/>
      <c r="J9" s="15"/>
      <c r="K9" s="15"/>
      <c r="L9" s="15"/>
      <c r="M9" s="15"/>
      <c r="N9" s="15"/>
      <c r="O9" s="15"/>
      <c r="P9" s="15"/>
      <c r="Q9" s="3"/>
      <c r="R9" s="3"/>
      <c r="S9" s="3"/>
      <c r="T9" s="3"/>
      <c r="U9" s="3"/>
      <c r="V9" s="3"/>
      <c r="W9" s="3"/>
      <c r="X9" s="3"/>
      <c r="Y9" s="3"/>
    </row>
    <row r="10" ht="22.5" customHeight="1">
      <c r="A10" s="7" t="s">
        <v>23</v>
      </c>
      <c r="B10" s="8"/>
      <c r="C10" s="4">
        <v>3.0</v>
      </c>
      <c r="D10" s="4">
        <v>124.5</v>
      </c>
      <c r="E10" s="6">
        <f t="shared" si="1"/>
        <v>373.5</v>
      </c>
      <c r="F10" s="7" t="s">
        <v>24</v>
      </c>
      <c r="G10" s="8"/>
      <c r="H10" s="3"/>
      <c r="I10" s="3"/>
      <c r="J10" s="15"/>
      <c r="K10" s="15"/>
      <c r="L10" s="15"/>
      <c r="M10" s="15"/>
      <c r="N10" s="15"/>
      <c r="O10" s="15"/>
      <c r="P10" s="15"/>
      <c r="Q10" s="3"/>
      <c r="R10" s="3"/>
      <c r="S10" s="3"/>
      <c r="T10" s="3"/>
      <c r="U10" s="3"/>
      <c r="V10" s="3"/>
      <c r="W10" s="3"/>
      <c r="X10" s="3"/>
      <c r="Y10" s="3"/>
    </row>
    <row r="11" ht="22.5" customHeight="1">
      <c r="A11" s="7" t="s">
        <v>52</v>
      </c>
      <c r="B11" s="8"/>
      <c r="C11" s="4">
        <v>3.0</v>
      </c>
      <c r="D11" s="4">
        <v>13.0</v>
      </c>
      <c r="E11" s="6">
        <f t="shared" si="1"/>
        <v>39</v>
      </c>
      <c r="F11" s="4" t="s">
        <v>26</v>
      </c>
      <c r="G11" s="8"/>
      <c r="H11" s="3"/>
      <c r="I11" s="3"/>
      <c r="J11" s="15"/>
      <c r="K11" s="15"/>
      <c r="L11" s="15"/>
      <c r="M11" s="15"/>
      <c r="N11" s="15"/>
      <c r="O11" s="15"/>
      <c r="P11" s="15"/>
      <c r="Q11" s="3"/>
      <c r="R11" s="3"/>
      <c r="S11" s="3"/>
      <c r="T11" s="3"/>
      <c r="U11" s="3"/>
      <c r="V11" s="3"/>
      <c r="W11" s="3"/>
      <c r="X11" s="3"/>
      <c r="Y11" s="3"/>
    </row>
    <row r="12" ht="22.5" customHeight="1">
      <c r="A12" s="7" t="s">
        <v>53</v>
      </c>
      <c r="B12" s="4" t="s">
        <v>10</v>
      </c>
      <c r="C12" s="4">
        <v>0.2</v>
      </c>
      <c r="D12" s="9">
        <v>65800.0</v>
      </c>
      <c r="E12" s="6">
        <f t="shared" si="1"/>
        <v>13160</v>
      </c>
      <c r="F12" s="10" t="s">
        <v>54</v>
      </c>
      <c r="G12" s="8"/>
      <c r="H12" s="3"/>
      <c r="I12" s="3"/>
      <c r="J12" s="15"/>
      <c r="K12" s="15"/>
      <c r="L12" s="15"/>
      <c r="M12" s="15"/>
      <c r="N12" s="15"/>
      <c r="O12" s="15"/>
      <c r="P12" s="15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7" t="s">
        <v>55</v>
      </c>
      <c r="B13" s="4" t="s">
        <v>10</v>
      </c>
      <c r="C13" s="4">
        <v>0.25</v>
      </c>
      <c r="D13" s="4">
        <v>7500.0</v>
      </c>
      <c r="E13" s="6">
        <f t="shared" si="1"/>
        <v>1875</v>
      </c>
      <c r="F13" s="10" t="s">
        <v>56</v>
      </c>
      <c r="G13" s="8"/>
      <c r="H13" s="3"/>
      <c r="I13" s="3"/>
      <c r="J13" s="15"/>
      <c r="K13" s="15"/>
      <c r="L13" s="15"/>
      <c r="M13" s="15"/>
      <c r="N13" s="15"/>
      <c r="O13" s="15"/>
      <c r="P13" s="15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7" t="s">
        <v>57</v>
      </c>
      <c r="B14" s="4" t="s">
        <v>10</v>
      </c>
      <c r="C14" s="4">
        <v>0.3</v>
      </c>
      <c r="D14" s="4">
        <v>14654.0</v>
      </c>
      <c r="E14" s="6">
        <f t="shared" si="1"/>
        <v>4396.2</v>
      </c>
      <c r="F14" s="10" t="s">
        <v>58</v>
      </c>
      <c r="G14" s="8"/>
      <c r="H14" s="3"/>
      <c r="I14" s="3"/>
      <c r="J14" s="15"/>
      <c r="K14" s="15"/>
      <c r="L14" s="15"/>
      <c r="M14" s="15"/>
      <c r="N14" s="15"/>
      <c r="O14" s="15"/>
      <c r="P14" s="15"/>
      <c r="Q14" s="3"/>
      <c r="R14" s="3"/>
      <c r="S14" s="3"/>
      <c r="T14" s="3"/>
      <c r="U14" s="3"/>
      <c r="V14" s="3"/>
      <c r="W14" s="3"/>
      <c r="X14" s="3"/>
      <c r="Y14" s="3"/>
    </row>
    <row r="15" ht="22.5" customHeight="1">
      <c r="A15" s="7" t="s">
        <v>36</v>
      </c>
      <c r="B15" s="8"/>
      <c r="C15" s="4">
        <v>3.0</v>
      </c>
      <c r="D15" s="4">
        <v>1220.0</v>
      </c>
      <c r="E15" s="6">
        <f t="shared" si="1"/>
        <v>3660</v>
      </c>
      <c r="F15" s="4" t="s">
        <v>37</v>
      </c>
      <c r="G15" s="8"/>
      <c r="H15" s="3"/>
      <c r="I15" s="3"/>
      <c r="J15" s="15"/>
      <c r="K15" s="15"/>
      <c r="L15" s="15"/>
      <c r="M15" s="15"/>
      <c r="N15" s="15"/>
      <c r="O15" s="15"/>
      <c r="P15" s="15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7" t="s">
        <v>38</v>
      </c>
      <c r="B16" s="8"/>
      <c r="C16" s="4">
        <v>3.0</v>
      </c>
      <c r="D16" s="4">
        <v>1050.0</v>
      </c>
      <c r="E16" s="6">
        <f t="shared" si="1"/>
        <v>3150</v>
      </c>
      <c r="F16" s="7" t="s">
        <v>39</v>
      </c>
      <c r="G16" s="8"/>
      <c r="H16" s="3"/>
      <c r="I16" s="3"/>
      <c r="J16" s="15"/>
      <c r="K16" s="15"/>
      <c r="L16" s="15"/>
      <c r="M16" s="15"/>
      <c r="N16" s="15"/>
      <c r="O16" s="15"/>
      <c r="P16" s="15"/>
      <c r="Q16" s="3"/>
      <c r="R16" s="3"/>
      <c r="S16" s="3"/>
      <c r="T16" s="3"/>
      <c r="U16" s="3"/>
      <c r="V16" s="3"/>
      <c r="W16" s="3"/>
      <c r="X16" s="3"/>
      <c r="Y16" s="3"/>
    </row>
    <row r="17" ht="22.5" customHeight="1">
      <c r="A17" s="7" t="s">
        <v>40</v>
      </c>
      <c r="B17" s="8"/>
      <c r="C17" s="4">
        <v>1.0</v>
      </c>
      <c r="D17" s="4">
        <v>679.0</v>
      </c>
      <c r="E17" s="6">
        <f t="shared" si="1"/>
        <v>679</v>
      </c>
      <c r="F17" s="7" t="s">
        <v>41</v>
      </c>
      <c r="G17" s="8"/>
      <c r="H17" s="3"/>
      <c r="I17" s="3"/>
      <c r="J17" s="15"/>
      <c r="K17" s="15"/>
      <c r="L17" s="15"/>
      <c r="M17" s="15"/>
      <c r="N17" s="15"/>
      <c r="O17" s="15"/>
      <c r="P17" s="15"/>
      <c r="Q17" s="3"/>
      <c r="R17" s="3"/>
      <c r="S17" s="3"/>
      <c r="T17" s="3"/>
      <c r="U17" s="3"/>
      <c r="V17" s="3"/>
      <c r="W17" s="3"/>
      <c r="X17" s="3"/>
      <c r="Y17" s="3"/>
    </row>
    <row r="18" ht="22.5" customHeight="1">
      <c r="A18" s="7" t="s">
        <v>42</v>
      </c>
      <c r="B18" s="8"/>
      <c r="C18" s="4">
        <v>1.0</v>
      </c>
      <c r="D18" s="4">
        <v>248.03</v>
      </c>
      <c r="E18" s="6">
        <f t="shared" si="1"/>
        <v>248.03</v>
      </c>
      <c r="F18" s="4" t="s">
        <v>43</v>
      </c>
      <c r="G18" s="8"/>
      <c r="H18" s="3"/>
      <c r="I18" s="3"/>
      <c r="J18" s="15"/>
      <c r="K18" s="15"/>
      <c r="L18" s="15"/>
      <c r="M18" s="15"/>
      <c r="N18" s="15"/>
      <c r="O18" s="15"/>
      <c r="P18" s="15"/>
      <c r="Q18" s="3"/>
      <c r="R18" s="3"/>
      <c r="S18" s="3"/>
      <c r="T18" s="3"/>
      <c r="U18" s="3"/>
      <c r="V18" s="3"/>
      <c r="W18" s="3"/>
      <c r="X18" s="3"/>
      <c r="Y18" s="3"/>
    </row>
    <row r="19" ht="22.5" customHeight="1">
      <c r="A19" s="7" t="s">
        <v>44</v>
      </c>
      <c r="B19" s="8"/>
      <c r="C19" s="4">
        <v>1.0</v>
      </c>
      <c r="D19" s="11">
        <v>5296.0</v>
      </c>
      <c r="E19" s="6">
        <f t="shared" si="1"/>
        <v>5296</v>
      </c>
      <c r="F19" s="10" t="s">
        <v>59</v>
      </c>
      <c r="G19" s="8"/>
      <c r="H19" s="3"/>
      <c r="I19" s="3"/>
      <c r="J19" s="15"/>
      <c r="K19" s="15"/>
      <c r="L19" s="15"/>
      <c r="M19" s="15"/>
      <c r="N19" s="15"/>
      <c r="O19" s="15"/>
      <c r="P19" s="15"/>
      <c r="Q19" s="3"/>
      <c r="R19" s="3"/>
      <c r="S19" s="3"/>
      <c r="T19" s="3"/>
      <c r="U19" s="3"/>
      <c r="V19" s="3"/>
      <c r="W19" s="3"/>
      <c r="X19" s="3"/>
      <c r="Y19" s="3"/>
    </row>
    <row r="20" ht="22.5" customHeight="1">
      <c r="A20" s="7"/>
      <c r="B20" s="8"/>
      <c r="C20" s="4"/>
      <c r="D20" s="11"/>
      <c r="E20" s="6">
        <f>SUM(E2:E19)</f>
        <v>49794.542</v>
      </c>
      <c r="F20" s="14"/>
      <c r="G20" s="8"/>
      <c r="H20" s="3"/>
      <c r="I20" s="3"/>
      <c r="J20" s="15"/>
      <c r="K20" s="15"/>
      <c r="L20" s="15"/>
      <c r="M20" s="15"/>
      <c r="N20" s="15"/>
      <c r="O20" s="15"/>
      <c r="P20" s="15"/>
      <c r="Q20" s="3"/>
      <c r="R20" s="3"/>
      <c r="S20" s="3"/>
      <c r="T20" s="3"/>
      <c r="U20" s="3"/>
      <c r="V20" s="3"/>
      <c r="W20" s="3"/>
      <c r="X20" s="3"/>
      <c r="Y20" s="3"/>
    </row>
    <row r="21">
      <c r="H21" s="3"/>
      <c r="I21" s="3"/>
      <c r="J21" s="15"/>
      <c r="K21" s="15"/>
      <c r="L21" s="15"/>
      <c r="M21" s="15"/>
      <c r="N21" s="15"/>
      <c r="O21" s="15"/>
      <c r="P21" s="15"/>
      <c r="Q21" s="3"/>
      <c r="R21" s="3"/>
      <c r="S21" s="3"/>
      <c r="T21" s="3"/>
      <c r="U21" s="3"/>
      <c r="V21" s="3"/>
      <c r="W21" s="3"/>
      <c r="X21" s="3"/>
      <c r="Y21" s="3"/>
    </row>
  </sheetData>
  <dataValidations>
    <dataValidation type="custom" allowBlank="1" showDropDown="1" sqref="E2:E20">
      <formula1>AND(ISNUMBER(E2),(NOT(OR(NOT(ISERROR(DATEVALUE(E2))), AND(ISNUMBER(E2), LEFT(CELL("format", E2))="D")))))</formula1>
    </dataValidation>
  </dataValidations>
  <hyperlinks>
    <hyperlink r:id="rId1" ref="F12"/>
    <hyperlink r:id="rId2" ref="F13"/>
    <hyperlink r:id="rId3" ref="F14"/>
    <hyperlink r:id="rId4" ref="F19"/>
  </hyperlinks>
  <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25"/>
    <col customWidth="1" min="3" max="3" width="18.75"/>
  </cols>
  <sheetData>
    <row r="1" ht="22.5" customHeight="1">
      <c r="A1" s="16"/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6"/>
    </row>
    <row r="2" ht="22.5" customHeight="1">
      <c r="A2" s="16"/>
      <c r="B2" s="18" t="s">
        <v>7</v>
      </c>
      <c r="C2" s="19"/>
      <c r="D2" s="20">
        <v>1.0</v>
      </c>
      <c r="E2" s="4">
        <v>808.9</v>
      </c>
      <c r="F2" s="21">
        <f t="shared" ref="F2:F19" si="1">PRODUCT(E2,D2)</f>
        <v>808.9</v>
      </c>
      <c r="G2" s="7" t="s">
        <v>8</v>
      </c>
      <c r="H2" s="22"/>
      <c r="I2" s="16"/>
    </row>
    <row r="3" ht="22.5" customHeight="1">
      <c r="A3" s="16"/>
      <c r="B3" s="23" t="s">
        <v>9</v>
      </c>
      <c r="C3" s="24"/>
      <c r="D3" s="4">
        <v>0.4</v>
      </c>
      <c r="E3" s="4">
        <v>6390.0</v>
      </c>
      <c r="F3" s="25">
        <f t="shared" si="1"/>
        <v>2556</v>
      </c>
      <c r="G3" s="7" t="s">
        <v>11</v>
      </c>
      <c r="H3" s="26"/>
      <c r="I3" s="16"/>
    </row>
    <row r="4" ht="22.5" customHeight="1">
      <c r="A4" s="16"/>
      <c r="B4" s="18" t="s">
        <v>12</v>
      </c>
      <c r="C4" s="19"/>
      <c r="D4" s="4">
        <v>0.2</v>
      </c>
      <c r="E4" s="9">
        <v>1698.99</v>
      </c>
      <c r="F4" s="21">
        <f t="shared" si="1"/>
        <v>339.798</v>
      </c>
      <c r="G4" s="7" t="s">
        <v>13</v>
      </c>
      <c r="H4" s="22"/>
      <c r="I4" s="16"/>
    </row>
    <row r="5" ht="22.5" customHeight="1">
      <c r="A5" s="16"/>
      <c r="B5" s="27" t="s">
        <v>14</v>
      </c>
      <c r="C5" s="24"/>
      <c r="D5" s="4">
        <v>0.2</v>
      </c>
      <c r="E5" s="9">
        <v>3300.0</v>
      </c>
      <c r="F5" s="25">
        <f t="shared" si="1"/>
        <v>660</v>
      </c>
      <c r="G5" s="7" t="s">
        <v>15</v>
      </c>
      <c r="H5" s="26"/>
      <c r="I5" s="16"/>
    </row>
    <row r="6" ht="22.5" customHeight="1">
      <c r="A6" s="16"/>
      <c r="B6" s="18" t="s">
        <v>16</v>
      </c>
      <c r="C6" s="19"/>
      <c r="D6" s="28">
        <v>40.0</v>
      </c>
      <c r="E6" s="4">
        <v>2.4</v>
      </c>
      <c r="F6" s="21">
        <f t="shared" si="1"/>
        <v>96</v>
      </c>
      <c r="G6" s="7" t="s">
        <v>17</v>
      </c>
      <c r="H6" s="22"/>
      <c r="I6" s="16"/>
    </row>
    <row r="7" ht="22.5" customHeight="1">
      <c r="A7" s="16"/>
      <c r="B7" s="23" t="s">
        <v>18</v>
      </c>
      <c r="C7" s="24"/>
      <c r="D7" s="4">
        <v>0.2</v>
      </c>
      <c r="E7" s="4">
        <v>110.57</v>
      </c>
      <c r="F7" s="25">
        <f t="shared" si="1"/>
        <v>22.114</v>
      </c>
      <c r="G7" s="4" t="s">
        <v>19</v>
      </c>
      <c r="H7" s="26"/>
      <c r="I7" s="16"/>
    </row>
    <row r="8" ht="22.5" customHeight="1">
      <c r="A8" s="16"/>
      <c r="B8" s="27" t="s">
        <v>20</v>
      </c>
      <c r="C8" s="24"/>
      <c r="D8" s="29">
        <v>4.0</v>
      </c>
      <c r="E8" s="9">
        <v>3359.0</v>
      </c>
      <c r="F8" s="25">
        <f t="shared" si="1"/>
        <v>13436</v>
      </c>
      <c r="G8" s="7" t="s">
        <v>21</v>
      </c>
      <c r="H8" s="26"/>
      <c r="I8" s="16"/>
    </row>
    <row r="9" ht="22.5" customHeight="1">
      <c r="A9" s="16"/>
      <c r="B9" s="30" t="s">
        <v>22</v>
      </c>
      <c r="C9" s="19"/>
      <c r="D9" s="28">
        <v>4.0</v>
      </c>
      <c r="E9" s="4">
        <v>786.0</v>
      </c>
      <c r="F9" s="21">
        <f t="shared" si="1"/>
        <v>3144</v>
      </c>
      <c r="G9" s="7" t="s">
        <v>21</v>
      </c>
      <c r="H9" s="22"/>
      <c r="I9" s="16"/>
    </row>
    <row r="10" ht="22.5" customHeight="1">
      <c r="A10" s="16"/>
      <c r="B10" s="27" t="s">
        <v>23</v>
      </c>
      <c r="C10" s="24"/>
      <c r="D10" s="28">
        <v>4.0</v>
      </c>
      <c r="E10" s="4">
        <v>124.5</v>
      </c>
      <c r="F10" s="25">
        <f t="shared" si="1"/>
        <v>498</v>
      </c>
      <c r="G10" s="7" t="s">
        <v>24</v>
      </c>
      <c r="H10" s="26"/>
      <c r="I10" s="16"/>
    </row>
    <row r="11" ht="22.5" customHeight="1">
      <c r="A11" s="16"/>
      <c r="B11" s="30" t="s">
        <v>52</v>
      </c>
      <c r="C11" s="19"/>
      <c r="D11" s="28">
        <v>4.0</v>
      </c>
      <c r="E11" s="4">
        <v>13.0</v>
      </c>
      <c r="F11" s="21">
        <f t="shared" si="1"/>
        <v>52</v>
      </c>
      <c r="G11" s="4" t="s">
        <v>26</v>
      </c>
      <c r="H11" s="22"/>
      <c r="I11" s="16"/>
    </row>
    <row r="12" ht="22.5" customHeight="1">
      <c r="A12" s="16"/>
      <c r="B12" s="27" t="s">
        <v>53</v>
      </c>
      <c r="C12" s="31" t="s">
        <v>10</v>
      </c>
      <c r="D12" s="4">
        <v>0.2</v>
      </c>
      <c r="E12" s="9">
        <v>65800.0</v>
      </c>
      <c r="F12" s="25">
        <f t="shared" si="1"/>
        <v>13160</v>
      </c>
      <c r="G12" s="10" t="s">
        <v>60</v>
      </c>
      <c r="H12" s="26"/>
      <c r="I12" s="16"/>
    </row>
    <row r="13" ht="22.5" customHeight="1">
      <c r="A13" s="16"/>
      <c r="B13" s="30" t="s">
        <v>55</v>
      </c>
      <c r="C13" s="32" t="s">
        <v>10</v>
      </c>
      <c r="D13" s="20">
        <v>0.0</v>
      </c>
      <c r="E13" s="4">
        <v>7500.0</v>
      </c>
      <c r="F13" s="21">
        <f t="shared" si="1"/>
        <v>0</v>
      </c>
      <c r="G13" s="10" t="s">
        <v>61</v>
      </c>
      <c r="H13" s="22"/>
      <c r="I13" s="16"/>
    </row>
    <row r="14" ht="22.5" customHeight="1">
      <c r="A14" s="16"/>
      <c r="B14" s="27" t="s">
        <v>57</v>
      </c>
      <c r="C14" s="31" t="s">
        <v>10</v>
      </c>
      <c r="D14" s="33">
        <v>0.0</v>
      </c>
      <c r="E14" s="4">
        <v>14654.0</v>
      </c>
      <c r="F14" s="25">
        <f t="shared" si="1"/>
        <v>0</v>
      </c>
      <c r="G14" s="10" t="s">
        <v>62</v>
      </c>
      <c r="H14" s="26"/>
      <c r="I14" s="16"/>
    </row>
    <row r="15" ht="22.5" customHeight="1">
      <c r="A15" s="16"/>
      <c r="B15" s="30" t="s">
        <v>36</v>
      </c>
      <c r="C15" s="19"/>
      <c r="D15" s="28">
        <v>4.0</v>
      </c>
      <c r="E15" s="4">
        <v>1220.0</v>
      </c>
      <c r="F15" s="21">
        <f t="shared" si="1"/>
        <v>4880</v>
      </c>
      <c r="G15" s="4" t="s">
        <v>37</v>
      </c>
      <c r="H15" s="22"/>
      <c r="I15" s="16"/>
    </row>
    <row r="16" ht="22.5" customHeight="1">
      <c r="A16" s="16"/>
      <c r="B16" s="27" t="s">
        <v>38</v>
      </c>
      <c r="C16" s="24"/>
      <c r="D16" s="29">
        <v>4.0</v>
      </c>
      <c r="E16" s="4">
        <v>1050.0</v>
      </c>
      <c r="F16" s="25">
        <f t="shared" si="1"/>
        <v>4200</v>
      </c>
      <c r="G16" s="7" t="s">
        <v>39</v>
      </c>
      <c r="H16" s="26"/>
      <c r="I16" s="16"/>
    </row>
    <row r="17" ht="22.5" customHeight="1">
      <c r="A17" s="16"/>
      <c r="B17" s="30" t="s">
        <v>40</v>
      </c>
      <c r="C17" s="19"/>
      <c r="D17" s="20">
        <v>1.0</v>
      </c>
      <c r="E17" s="4">
        <v>679.0</v>
      </c>
      <c r="F17" s="21">
        <f t="shared" si="1"/>
        <v>679</v>
      </c>
      <c r="G17" s="7" t="s">
        <v>41</v>
      </c>
      <c r="H17" s="22"/>
      <c r="I17" s="16"/>
    </row>
    <row r="18" ht="22.5" customHeight="1">
      <c r="A18" s="16"/>
      <c r="B18" s="27" t="s">
        <v>42</v>
      </c>
      <c r="C18" s="24"/>
      <c r="D18" s="33">
        <v>1.0</v>
      </c>
      <c r="E18" s="4">
        <v>248.03</v>
      </c>
      <c r="F18" s="25">
        <f t="shared" si="1"/>
        <v>248.03</v>
      </c>
      <c r="G18" s="4" t="s">
        <v>43</v>
      </c>
      <c r="H18" s="26"/>
      <c r="I18" s="16"/>
    </row>
    <row r="19" ht="22.5" customHeight="1">
      <c r="A19" s="16"/>
      <c r="B19" s="30" t="s">
        <v>44</v>
      </c>
      <c r="C19" s="19"/>
      <c r="D19" s="20">
        <v>0.0</v>
      </c>
      <c r="E19" s="11">
        <v>5296.0</v>
      </c>
      <c r="F19" s="21">
        <f t="shared" si="1"/>
        <v>0</v>
      </c>
      <c r="G19" s="10" t="s">
        <v>63</v>
      </c>
      <c r="H19" s="22"/>
      <c r="I19" s="16"/>
    </row>
    <row r="20" ht="22.5" customHeight="1">
      <c r="A20" s="16"/>
      <c r="B20" s="34"/>
      <c r="C20" s="35"/>
      <c r="D20" s="35"/>
      <c r="E20" s="36"/>
      <c r="F20" s="37">
        <f>SUM(F2:F19)</f>
        <v>44779.842</v>
      </c>
      <c r="G20" s="35"/>
      <c r="H20" s="38"/>
      <c r="I20" s="16"/>
    </row>
    <row r="21">
      <c r="A21" s="16"/>
      <c r="I21" s="16"/>
    </row>
  </sheetData>
  <dataValidations>
    <dataValidation type="custom" allowBlank="1" showDropDown="1" sqref="F2:F20">
      <formula1>AND(ISNUMBER(F2),(NOT(OR(NOT(ISERROR(DATEVALUE(F2))), AND(ISNUMBER(F2), LEFT(CELL("format", F2))="D")))))</formula1>
    </dataValidation>
  </dataValidations>
  <hyperlinks>
    <hyperlink r:id="rId1" ref="G12"/>
    <hyperlink r:id="rId2" ref="G13"/>
    <hyperlink r:id="rId3" ref="G14"/>
    <hyperlink r:id="rId4" ref="G19"/>
  </hyperlinks>
  <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2.75"/>
    <col customWidth="1" min="3" max="3" width="24.63"/>
    <col customWidth="1" min="4" max="4" width="25.5"/>
    <col customWidth="1" min="5" max="5" width="18.75"/>
    <col customWidth="1" min="6" max="6" width="27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4" t="s">
        <v>7</v>
      </c>
      <c r="B2" s="5"/>
      <c r="C2" s="4">
        <v>1.0</v>
      </c>
      <c r="D2" s="4">
        <v>808.9</v>
      </c>
      <c r="E2" s="6">
        <f t="shared" ref="E2:E11" si="1">PRODUCT(D2,C2)</f>
        <v>808.9</v>
      </c>
      <c r="F2" s="7" t="s">
        <v>8</v>
      </c>
      <c r="G2" s="8"/>
    </row>
    <row r="3" ht="22.5" customHeight="1">
      <c r="A3" s="4" t="s">
        <v>9</v>
      </c>
      <c r="B3" s="4" t="s">
        <v>10</v>
      </c>
      <c r="C3" s="4">
        <v>0.4</v>
      </c>
      <c r="D3" s="4">
        <v>6390.0</v>
      </c>
      <c r="E3" s="6">
        <f t="shared" si="1"/>
        <v>2556</v>
      </c>
      <c r="F3" s="7" t="s">
        <v>11</v>
      </c>
      <c r="G3" s="8"/>
    </row>
    <row r="4" ht="22.5" customHeight="1">
      <c r="A4" s="4" t="s">
        <v>12</v>
      </c>
      <c r="B4" s="4" t="s">
        <v>10</v>
      </c>
      <c r="C4" s="4">
        <v>0.2</v>
      </c>
      <c r="D4" s="9">
        <v>1698.99</v>
      </c>
      <c r="E4" s="6">
        <f t="shared" si="1"/>
        <v>339.798</v>
      </c>
      <c r="F4" s="7" t="s">
        <v>13</v>
      </c>
      <c r="G4" s="8"/>
    </row>
    <row r="5" ht="22.5" customHeight="1">
      <c r="A5" s="7" t="s">
        <v>14</v>
      </c>
      <c r="B5" s="4" t="s">
        <v>10</v>
      </c>
      <c r="C5" s="4">
        <v>0.2</v>
      </c>
      <c r="D5" s="9">
        <v>3300.0</v>
      </c>
      <c r="E5" s="6">
        <f t="shared" si="1"/>
        <v>660</v>
      </c>
      <c r="F5" s="7" t="s">
        <v>15</v>
      </c>
      <c r="G5" s="8"/>
    </row>
    <row r="6" ht="22.5" customHeight="1">
      <c r="A6" s="4" t="s">
        <v>16</v>
      </c>
      <c r="B6" s="4" t="s">
        <v>10</v>
      </c>
      <c r="C6" s="4">
        <v>40.0</v>
      </c>
      <c r="D6" s="4">
        <v>2.4</v>
      </c>
      <c r="E6" s="6">
        <f t="shared" si="1"/>
        <v>96</v>
      </c>
      <c r="F6" s="7" t="s">
        <v>17</v>
      </c>
      <c r="G6" s="8"/>
    </row>
    <row r="7" ht="22.5" customHeight="1">
      <c r="A7" s="4" t="s">
        <v>18</v>
      </c>
      <c r="B7" s="4" t="s">
        <v>10</v>
      </c>
      <c r="C7" s="4">
        <v>0.2</v>
      </c>
      <c r="D7" s="4">
        <v>110.57</v>
      </c>
      <c r="E7" s="6">
        <f t="shared" si="1"/>
        <v>22.114</v>
      </c>
      <c r="F7" s="4" t="s">
        <v>19</v>
      </c>
      <c r="G7" s="8"/>
    </row>
    <row r="8" ht="22.5" customHeight="1">
      <c r="A8" s="7" t="s">
        <v>20</v>
      </c>
      <c r="B8" s="8"/>
      <c r="C8" s="4">
        <v>3.0</v>
      </c>
      <c r="D8" s="9">
        <v>3359.0</v>
      </c>
      <c r="E8" s="6">
        <f t="shared" si="1"/>
        <v>10077</v>
      </c>
      <c r="F8" s="7" t="s">
        <v>21</v>
      </c>
      <c r="G8" s="8"/>
    </row>
    <row r="9" ht="22.5" customHeight="1">
      <c r="A9" s="7" t="s">
        <v>22</v>
      </c>
      <c r="B9" s="8"/>
      <c r="C9" s="4">
        <v>3.0</v>
      </c>
      <c r="D9" s="4">
        <v>786.0</v>
      </c>
      <c r="E9" s="6">
        <f t="shared" si="1"/>
        <v>2358</v>
      </c>
      <c r="F9" s="7" t="s">
        <v>21</v>
      </c>
      <c r="G9" s="8"/>
    </row>
    <row r="10" ht="22.5" customHeight="1">
      <c r="A10" s="7" t="s">
        <v>23</v>
      </c>
      <c r="B10" s="8"/>
      <c r="C10" s="4">
        <v>3.0</v>
      </c>
      <c r="D10" s="4">
        <v>124.5</v>
      </c>
      <c r="E10" s="6">
        <f t="shared" si="1"/>
        <v>373.5</v>
      </c>
      <c r="F10" s="4" t="s">
        <v>24</v>
      </c>
      <c r="G10" s="8"/>
    </row>
    <row r="11" ht="22.5" customHeight="1">
      <c r="A11" s="7" t="s">
        <v>25</v>
      </c>
      <c r="B11" s="8"/>
      <c r="C11" s="4">
        <v>3.0</v>
      </c>
      <c r="D11" s="4">
        <v>13.0</v>
      </c>
      <c r="E11" s="6">
        <f t="shared" si="1"/>
        <v>39</v>
      </c>
      <c r="F11" s="4" t="s">
        <v>26</v>
      </c>
      <c r="G11" s="8"/>
    </row>
    <row r="12" ht="22.5" customHeight="1">
      <c r="A12" s="7" t="s">
        <v>53</v>
      </c>
      <c r="B12" s="4" t="s">
        <v>64</v>
      </c>
      <c r="C12" s="4">
        <v>0.2</v>
      </c>
      <c r="D12" s="9">
        <v>65800.0</v>
      </c>
      <c r="E12" s="6">
        <v>13160.0</v>
      </c>
      <c r="F12" s="4" t="s">
        <v>65</v>
      </c>
      <c r="G12" s="8"/>
    </row>
    <row r="13" ht="22.5" customHeight="1">
      <c r="A13" s="7" t="s">
        <v>30</v>
      </c>
      <c r="B13" s="4" t="s">
        <v>34</v>
      </c>
      <c r="C13" s="4">
        <v>0.25</v>
      </c>
      <c r="D13" s="4">
        <v>7500.0</v>
      </c>
      <c r="E13" s="6">
        <f t="shared" ref="E13:E18" si="2">PRODUCT(D13,C13)</f>
        <v>1875</v>
      </c>
      <c r="F13" s="10" t="s">
        <v>66</v>
      </c>
      <c r="G13" s="4"/>
    </row>
    <row r="14" ht="22.5" customHeight="1">
      <c r="A14" s="7" t="s">
        <v>33</v>
      </c>
      <c r="B14" s="4" t="s">
        <v>34</v>
      </c>
      <c r="C14" s="4">
        <v>0.3</v>
      </c>
      <c r="D14" s="4">
        <v>14654.0</v>
      </c>
      <c r="E14" s="6">
        <f t="shared" si="2"/>
        <v>4396.2</v>
      </c>
      <c r="F14" s="10" t="s">
        <v>66</v>
      </c>
      <c r="G14" s="4"/>
    </row>
    <row r="15" ht="22.5" customHeight="1">
      <c r="A15" s="7" t="s">
        <v>36</v>
      </c>
      <c r="B15" s="8"/>
      <c r="C15" s="4">
        <v>3.0</v>
      </c>
      <c r="D15" s="4">
        <v>1220.0</v>
      </c>
      <c r="E15" s="6">
        <f t="shared" si="2"/>
        <v>3660</v>
      </c>
      <c r="F15" s="4" t="s">
        <v>37</v>
      </c>
      <c r="G15" s="8"/>
    </row>
    <row r="16" ht="22.5" customHeight="1">
      <c r="A16" s="7" t="s">
        <v>38</v>
      </c>
      <c r="B16" s="8"/>
      <c r="C16" s="4">
        <v>3.0</v>
      </c>
      <c r="D16" s="4">
        <v>1050.0</v>
      </c>
      <c r="E16" s="6">
        <f t="shared" si="2"/>
        <v>3150</v>
      </c>
      <c r="F16" s="4" t="s">
        <v>39</v>
      </c>
      <c r="G16" s="8"/>
    </row>
    <row r="17" ht="22.5" customHeight="1">
      <c r="A17" s="7" t="s">
        <v>40</v>
      </c>
      <c r="B17" s="8"/>
      <c r="C17" s="4">
        <v>1.0</v>
      </c>
      <c r="D17" s="4">
        <v>679.0</v>
      </c>
      <c r="E17" s="6">
        <f t="shared" si="2"/>
        <v>679</v>
      </c>
      <c r="F17" s="7" t="s">
        <v>41</v>
      </c>
      <c r="G17" s="8"/>
    </row>
    <row r="18" ht="22.5" customHeight="1">
      <c r="A18" s="7" t="s">
        <v>42</v>
      </c>
      <c r="B18" s="8"/>
      <c r="C18" s="4">
        <v>1.0</v>
      </c>
      <c r="D18" s="4">
        <v>248.03</v>
      </c>
      <c r="E18" s="6">
        <f t="shared" si="2"/>
        <v>248.03</v>
      </c>
      <c r="F18" s="4" t="s">
        <v>43</v>
      </c>
      <c r="G18" s="8"/>
    </row>
    <row r="19" ht="22.5" customHeight="1">
      <c r="B19" s="8"/>
      <c r="C19" s="4"/>
      <c r="D19" s="12" t="s">
        <v>46</v>
      </c>
      <c r="E19" s="13">
        <f>SUM(E2:E18)</f>
        <v>44498.542</v>
      </c>
      <c r="F19" s="14"/>
      <c r="G19" s="8"/>
    </row>
  </sheetData>
  <dataValidations>
    <dataValidation type="custom" allowBlank="1" showDropDown="1" sqref="E2:E19">
      <formula1>AND(ISNUMBER(E2),(NOT(OR(NOT(ISERROR(DATEVALUE(E2))), AND(ISNUMBER(E2), LEFT(CELL("format", E2))="D")))))</formula1>
    </dataValidation>
  </dataValidations>
  <hyperlinks>
    <hyperlink r:id="rId1" ref="F13"/>
    <hyperlink r:id="rId2" ref="F14"/>
  </hyperlinks>
  <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13"/>
    <col customWidth="1" min="2" max="2" width="42.88"/>
    <col customWidth="1" min="3" max="6" width="22.63"/>
    <col customWidth="1" min="7" max="7" width="31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 t="s">
        <v>7</v>
      </c>
      <c r="B2" s="5"/>
      <c r="C2" s="4">
        <v>1.0</v>
      </c>
      <c r="D2" s="4">
        <v>808.9</v>
      </c>
      <c r="E2" s="6">
        <f t="shared" ref="E2:E19" si="1">PRODUCT(D2,C2)</f>
        <v>808.9</v>
      </c>
      <c r="F2" s="7" t="s">
        <v>8</v>
      </c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2.5" customHeight="1">
      <c r="A3" s="4" t="s">
        <v>9</v>
      </c>
      <c r="B3" s="4" t="s">
        <v>10</v>
      </c>
      <c r="C3" s="4">
        <v>0.4</v>
      </c>
      <c r="D3" s="4">
        <v>6390.0</v>
      </c>
      <c r="E3" s="6">
        <f t="shared" si="1"/>
        <v>2556</v>
      </c>
      <c r="F3" s="7" t="s">
        <v>11</v>
      </c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2.5" customHeight="1">
      <c r="A4" s="4" t="s">
        <v>12</v>
      </c>
      <c r="B4" s="4" t="s">
        <v>10</v>
      </c>
      <c r="C4" s="4">
        <v>0.2</v>
      </c>
      <c r="D4" s="9">
        <v>1698.99</v>
      </c>
      <c r="E4" s="6">
        <f t="shared" si="1"/>
        <v>339.798</v>
      </c>
      <c r="F4" s="7" t="s">
        <v>13</v>
      </c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2.5" customHeight="1">
      <c r="A5" s="7" t="s">
        <v>14</v>
      </c>
      <c r="B5" s="4" t="s">
        <v>10</v>
      </c>
      <c r="C5" s="4">
        <v>0.2</v>
      </c>
      <c r="D5" s="9">
        <v>3300.0</v>
      </c>
      <c r="E5" s="6">
        <f t="shared" si="1"/>
        <v>660</v>
      </c>
      <c r="F5" s="7" t="s">
        <v>15</v>
      </c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2.5" customHeight="1">
      <c r="A6" s="4" t="s">
        <v>16</v>
      </c>
      <c r="B6" s="4" t="s">
        <v>10</v>
      </c>
      <c r="C6" s="4">
        <v>40.0</v>
      </c>
      <c r="D6" s="4">
        <v>2.4</v>
      </c>
      <c r="E6" s="6">
        <f t="shared" si="1"/>
        <v>96</v>
      </c>
      <c r="F6" s="7" t="s">
        <v>17</v>
      </c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>
      <c r="A7" s="4" t="s">
        <v>18</v>
      </c>
      <c r="B7" s="4" t="s">
        <v>10</v>
      </c>
      <c r="C7" s="4">
        <v>0.2</v>
      </c>
      <c r="D7" s="4">
        <v>110.57</v>
      </c>
      <c r="E7" s="6">
        <f t="shared" si="1"/>
        <v>22.114</v>
      </c>
      <c r="F7" s="4" t="s">
        <v>19</v>
      </c>
      <c r="G7" s="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>
      <c r="A8" s="7" t="s">
        <v>20</v>
      </c>
      <c r="B8" s="8"/>
      <c r="C8" s="4">
        <v>3.0</v>
      </c>
      <c r="D8" s="9">
        <v>3359.0</v>
      </c>
      <c r="E8" s="6">
        <f t="shared" si="1"/>
        <v>10077</v>
      </c>
      <c r="F8" s="7" t="s">
        <v>21</v>
      </c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7" t="s">
        <v>22</v>
      </c>
      <c r="B9" s="8"/>
      <c r="C9" s="4">
        <v>3.0</v>
      </c>
      <c r="D9" s="4">
        <v>786.0</v>
      </c>
      <c r="E9" s="6">
        <f t="shared" si="1"/>
        <v>2358</v>
      </c>
      <c r="F9" s="7" t="s">
        <v>21</v>
      </c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2.5" customHeight="1">
      <c r="A10" s="7" t="s">
        <v>23</v>
      </c>
      <c r="B10" s="8"/>
      <c r="C10" s="4">
        <v>3.0</v>
      </c>
      <c r="D10" s="4">
        <v>124.5</v>
      </c>
      <c r="E10" s="6">
        <f t="shared" si="1"/>
        <v>373.5</v>
      </c>
      <c r="F10" s="7" t="s">
        <v>24</v>
      </c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2.5" customHeight="1">
      <c r="A11" s="7" t="s">
        <v>25</v>
      </c>
      <c r="B11" s="8"/>
      <c r="C11" s="4">
        <v>3.0</v>
      </c>
      <c r="D11" s="4">
        <v>13.0</v>
      </c>
      <c r="E11" s="6">
        <f t="shared" si="1"/>
        <v>39</v>
      </c>
      <c r="F11" s="4" t="s">
        <v>26</v>
      </c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5" customHeight="1">
      <c r="A12" s="7" t="s">
        <v>27</v>
      </c>
      <c r="B12" s="4" t="s">
        <v>47</v>
      </c>
      <c r="C12" s="4">
        <v>0.2</v>
      </c>
      <c r="D12" s="9">
        <v>65800.0</v>
      </c>
      <c r="E12" s="6">
        <f t="shared" si="1"/>
        <v>13160</v>
      </c>
      <c r="F12" s="10" t="s">
        <v>67</v>
      </c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7" t="s">
        <v>30</v>
      </c>
      <c r="B13" s="4"/>
      <c r="C13" s="4">
        <v>0.25</v>
      </c>
      <c r="D13" s="4">
        <v>7500.0</v>
      </c>
      <c r="E13" s="6">
        <f t="shared" si="1"/>
        <v>1875</v>
      </c>
      <c r="F13" s="10" t="s">
        <v>68</v>
      </c>
      <c r="G13" s="4">
        <v>1.0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7" t="s">
        <v>33</v>
      </c>
      <c r="B14" s="4"/>
      <c r="C14" s="4">
        <v>0.4</v>
      </c>
      <c r="D14" s="4">
        <v>14654.0</v>
      </c>
      <c r="E14" s="6">
        <f t="shared" si="1"/>
        <v>5861.6</v>
      </c>
      <c r="F14" s="10" t="s">
        <v>69</v>
      </c>
      <c r="G14" s="4">
        <v>5.0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2.5" customHeight="1">
      <c r="A15" s="7" t="s">
        <v>36</v>
      </c>
      <c r="B15" s="8"/>
      <c r="C15" s="4">
        <v>3.0</v>
      </c>
      <c r="D15" s="4">
        <v>1220.0</v>
      </c>
      <c r="E15" s="6">
        <f t="shared" si="1"/>
        <v>3660</v>
      </c>
      <c r="F15" s="4" t="s">
        <v>37</v>
      </c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7" t="s">
        <v>38</v>
      </c>
      <c r="B16" s="8"/>
      <c r="C16" s="4">
        <v>3.0</v>
      </c>
      <c r="D16" s="4">
        <v>1050.0</v>
      </c>
      <c r="E16" s="6">
        <f t="shared" si="1"/>
        <v>3150</v>
      </c>
      <c r="F16" s="7" t="s">
        <v>39</v>
      </c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2.5" customHeight="1">
      <c r="A17" s="7" t="s">
        <v>40</v>
      </c>
      <c r="B17" s="8"/>
      <c r="C17" s="4">
        <v>1.0</v>
      </c>
      <c r="D17" s="4">
        <v>679.0</v>
      </c>
      <c r="E17" s="6">
        <f t="shared" si="1"/>
        <v>679</v>
      </c>
      <c r="F17" s="7" t="s">
        <v>41</v>
      </c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2.5" customHeight="1">
      <c r="A18" s="7" t="s">
        <v>42</v>
      </c>
      <c r="B18" s="8"/>
      <c r="C18" s="4">
        <v>1.0</v>
      </c>
      <c r="D18" s="4">
        <v>248.03</v>
      </c>
      <c r="E18" s="6">
        <f t="shared" si="1"/>
        <v>248.03</v>
      </c>
      <c r="F18" s="4" t="s">
        <v>43</v>
      </c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2.5" customHeight="1">
      <c r="A19" s="7" t="s">
        <v>44</v>
      </c>
      <c r="B19" s="8"/>
      <c r="C19" s="4">
        <v>0.0</v>
      </c>
      <c r="D19" s="11">
        <v>5296.0</v>
      </c>
      <c r="E19" s="6">
        <f t="shared" si="1"/>
        <v>0</v>
      </c>
      <c r="F19" s="10" t="s">
        <v>70</v>
      </c>
      <c r="G19" s="4">
        <v>2.0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2.5" customHeight="1">
      <c r="B20" s="8"/>
      <c r="C20" s="4"/>
      <c r="D20" s="12" t="s">
        <v>46</v>
      </c>
      <c r="E20" s="13">
        <f>SUM(E2:E19)</f>
        <v>45963.942</v>
      </c>
      <c r="F20" s="14"/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dataValidations>
    <dataValidation type="custom" allowBlank="1" showDropDown="1" sqref="E2:E20">
      <formula1>AND(ISNUMBER(E2),(NOT(OR(NOT(ISERROR(DATEVALUE(E2))), AND(ISNUMBER(E2), LEFT(CELL("format", E2))="D")))))</formula1>
    </dataValidation>
  </dataValidations>
  <hyperlinks>
    <hyperlink r:id="rId1" ref="F12"/>
    <hyperlink r:id="rId2" ref="F13"/>
    <hyperlink r:id="rId3" ref="F14"/>
    <hyperlink r:id="rId4" ref="F19"/>
  </hyperlinks>
  <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3" width="7.63"/>
    <col customWidth="1" min="4" max="4" width="14.0"/>
    <col customWidth="1" min="5" max="5" width="16.5"/>
    <col customWidth="1" min="6" max="6" width="25.75"/>
    <col customWidth="1" min="7" max="7" width="22.75"/>
    <col customWidth="1" min="8" max="8" width="13.63"/>
    <col customWidth="1" min="9" max="9" width="16.38"/>
    <col customWidth="1" min="10" max="10" width="12.13"/>
    <col customWidth="1" min="11" max="11" width="9.5"/>
    <col customWidth="1" min="12" max="12" width="10.13"/>
    <col customWidth="1" min="13" max="13" width="7.63"/>
    <col customWidth="1" min="14" max="14" width="14.0"/>
    <col customWidth="1" min="15" max="27" width="7.63"/>
  </cols>
  <sheetData>
    <row r="1" ht="116.25" customHeight="1">
      <c r="A1" s="39"/>
      <c r="D1" s="39"/>
      <c r="F1" s="40"/>
      <c r="G1" s="40" t="s">
        <v>71</v>
      </c>
    </row>
    <row r="2" ht="15.75" customHeight="1">
      <c r="A2" s="39" t="s">
        <v>72</v>
      </c>
    </row>
    <row r="3" ht="23.25" customHeight="1">
      <c r="A3" s="41" t="s">
        <v>72</v>
      </c>
      <c r="B3" s="41" t="s">
        <v>72</v>
      </c>
      <c r="C3" s="41" t="s">
        <v>72</v>
      </c>
      <c r="D3" s="41" t="s">
        <v>73</v>
      </c>
      <c r="E3" s="42" t="s">
        <v>74</v>
      </c>
      <c r="F3" s="42" t="s">
        <v>75</v>
      </c>
      <c r="G3" s="41" t="s">
        <v>1</v>
      </c>
      <c r="H3" s="42" t="s">
        <v>76</v>
      </c>
      <c r="I3" s="41" t="s">
        <v>2</v>
      </c>
      <c r="J3" s="41" t="s">
        <v>77</v>
      </c>
      <c r="K3" s="41" t="s">
        <v>78</v>
      </c>
      <c r="L3" s="43" t="s">
        <v>79</v>
      </c>
      <c r="M3" s="43" t="s">
        <v>80</v>
      </c>
      <c r="N3" s="43" t="s">
        <v>81</v>
      </c>
    </row>
    <row r="4" ht="43.5" customHeight="1">
      <c r="A4" s="44"/>
      <c r="B4" s="44"/>
      <c r="C4" s="44"/>
      <c r="D4" s="45" t="s">
        <v>82</v>
      </c>
      <c r="E4" s="46" t="s">
        <v>7</v>
      </c>
      <c r="F4" s="47" t="s">
        <v>83</v>
      </c>
      <c r="G4" s="45" t="s">
        <v>84</v>
      </c>
      <c r="H4" s="46" t="s">
        <v>85</v>
      </c>
      <c r="I4" s="45" t="s">
        <v>86</v>
      </c>
      <c r="J4" s="45" t="s">
        <v>87</v>
      </c>
      <c r="K4" s="45" t="s">
        <v>86</v>
      </c>
      <c r="L4" s="48" t="s">
        <v>88</v>
      </c>
      <c r="M4" s="48" t="s">
        <v>89</v>
      </c>
      <c r="N4" s="48" t="s">
        <v>90</v>
      </c>
    </row>
    <row r="5" ht="43.5" customHeight="1">
      <c r="A5" s="44"/>
      <c r="B5" s="44"/>
      <c r="C5" s="44"/>
      <c r="D5" s="45" t="s">
        <v>91</v>
      </c>
      <c r="E5" s="46" t="s">
        <v>92</v>
      </c>
      <c r="F5" s="47" t="s">
        <v>11</v>
      </c>
      <c r="G5" s="45" t="s">
        <v>93</v>
      </c>
      <c r="H5" s="46" t="s">
        <v>94</v>
      </c>
      <c r="I5" s="45" t="s">
        <v>95</v>
      </c>
      <c r="J5" s="45" t="s">
        <v>87</v>
      </c>
      <c r="K5" s="45" t="s">
        <v>95</v>
      </c>
      <c r="L5" s="48" t="s">
        <v>96</v>
      </c>
      <c r="M5" s="48" t="s">
        <v>89</v>
      </c>
      <c r="N5" s="48" t="s">
        <v>97</v>
      </c>
    </row>
    <row r="6" ht="43.5" customHeight="1">
      <c r="A6" s="44"/>
      <c r="B6" s="44"/>
      <c r="C6" s="44"/>
      <c r="D6" s="45" t="s">
        <v>98</v>
      </c>
      <c r="E6" s="46" t="s">
        <v>99</v>
      </c>
      <c r="F6" s="47" t="s">
        <v>100</v>
      </c>
      <c r="G6" s="45" t="s">
        <v>101</v>
      </c>
      <c r="H6" s="46" t="s">
        <v>102</v>
      </c>
      <c r="I6" s="45" t="s">
        <v>103</v>
      </c>
      <c r="J6" s="45" t="s">
        <v>87</v>
      </c>
      <c r="K6" s="45" t="s">
        <v>103</v>
      </c>
      <c r="L6" s="48" t="s">
        <v>104</v>
      </c>
      <c r="M6" s="48" t="s">
        <v>89</v>
      </c>
      <c r="N6" s="48" t="s">
        <v>104</v>
      </c>
    </row>
    <row r="7" ht="43.5" customHeight="1">
      <c r="A7" s="44"/>
      <c r="B7" s="44"/>
      <c r="C7" s="44"/>
      <c r="D7" s="45" t="s">
        <v>105</v>
      </c>
      <c r="E7" s="46" t="s">
        <v>106</v>
      </c>
      <c r="F7" s="47" t="s">
        <v>17</v>
      </c>
      <c r="G7" s="45" t="s">
        <v>107</v>
      </c>
      <c r="H7" s="46" t="s">
        <v>108</v>
      </c>
      <c r="I7" s="45" t="s">
        <v>109</v>
      </c>
      <c r="J7" s="45" t="s">
        <v>87</v>
      </c>
      <c r="K7" s="45" t="s">
        <v>109</v>
      </c>
      <c r="L7" s="48" t="s">
        <v>110</v>
      </c>
      <c r="M7" s="48" t="s">
        <v>89</v>
      </c>
      <c r="N7" s="48" t="s">
        <v>111</v>
      </c>
    </row>
    <row r="8" ht="23.25" customHeight="1">
      <c r="A8" s="49" t="s">
        <v>112</v>
      </c>
      <c r="N8" s="50" t="s">
        <v>113</v>
      </c>
    </row>
    <row r="9" ht="20.25" customHeight="1">
      <c r="A9" s="39" t="s">
        <v>72</v>
      </c>
    </row>
    <row r="10" ht="23.25" customHeight="1">
      <c r="J10" s="49" t="s">
        <v>114</v>
      </c>
      <c r="L10" s="49" t="s">
        <v>115</v>
      </c>
      <c r="N10" s="49" t="s">
        <v>116</v>
      </c>
    </row>
    <row r="11" ht="29.25" customHeight="1">
      <c r="J11" s="51" t="s">
        <v>117</v>
      </c>
      <c r="K11" s="52" t="s">
        <v>118</v>
      </c>
      <c r="L11" s="51" t="s">
        <v>119</v>
      </c>
      <c r="M11" s="52" t="s">
        <v>118</v>
      </c>
      <c r="N11" s="51" t="s">
        <v>119</v>
      </c>
    </row>
    <row r="12" ht="34.5" customHeight="1">
      <c r="A12" s="49" t="s">
        <v>120</v>
      </c>
      <c r="N12" s="53" t="s">
        <v>113</v>
      </c>
    </row>
    <row r="13" ht="20.25" customHeight="1">
      <c r="A13" s="39" t="s">
        <v>72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8">
    <mergeCell ref="A1:C1"/>
    <mergeCell ref="G1:N1"/>
    <mergeCell ref="D1:E1"/>
    <mergeCell ref="A2:N2"/>
    <mergeCell ref="A8:M8"/>
    <mergeCell ref="A9:N9"/>
    <mergeCell ref="A12:M12"/>
    <mergeCell ref="A13:N1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3" width="7.63"/>
    <col customWidth="1" min="4" max="4" width="15.75"/>
    <col customWidth="1" min="5" max="8" width="7.63"/>
    <col customWidth="1" min="9" max="10" width="20.13"/>
    <col customWidth="1" min="11" max="26" width="7.63"/>
  </cols>
  <sheetData>
    <row r="1" ht="116.25" customHeight="1">
      <c r="A1" s="39"/>
      <c r="F1" s="40" t="s">
        <v>121</v>
      </c>
    </row>
    <row r="2" ht="14.25" customHeight="1">
      <c r="A2" s="39" t="s">
        <v>72</v>
      </c>
    </row>
    <row r="3" ht="36.75" customHeight="1">
      <c r="A3" s="54" t="s">
        <v>122</v>
      </c>
    </row>
    <row r="4" ht="28.5" customHeight="1">
      <c r="A4" s="55" t="s">
        <v>123</v>
      </c>
    </row>
    <row r="5" ht="351.75" customHeight="1">
      <c r="A5" s="39"/>
    </row>
    <row r="6" ht="14.25" customHeight="1">
      <c r="A6" s="39" t="s">
        <v>72</v>
      </c>
    </row>
    <row r="7" ht="28.5" customHeight="1">
      <c r="A7" s="55" t="s">
        <v>124</v>
      </c>
    </row>
    <row r="8" ht="17.25" customHeight="1">
      <c r="A8" s="56"/>
      <c r="B8" s="57" t="s">
        <v>125</v>
      </c>
      <c r="C8" s="58"/>
      <c r="D8" s="58"/>
      <c r="E8" s="58"/>
      <c r="F8" s="58"/>
      <c r="G8" s="58"/>
      <c r="H8" s="58"/>
      <c r="I8" s="58"/>
      <c r="J8" s="59"/>
    </row>
    <row r="9" ht="23.25" customHeight="1">
      <c r="A9" s="41"/>
      <c r="B9" s="41"/>
      <c r="C9" s="41"/>
      <c r="D9" s="41" t="s">
        <v>126</v>
      </c>
      <c r="E9" s="41" t="s">
        <v>127</v>
      </c>
      <c r="F9" s="41" t="s">
        <v>128</v>
      </c>
      <c r="G9" s="41" t="s">
        <v>129</v>
      </c>
      <c r="H9" s="41" t="s">
        <v>130</v>
      </c>
      <c r="I9" s="41" t="s">
        <v>131</v>
      </c>
      <c r="J9" s="41" t="s">
        <v>132</v>
      </c>
    </row>
    <row r="10" ht="43.5" customHeight="1">
      <c r="A10" s="45" t="s">
        <v>133</v>
      </c>
      <c r="B10" s="44"/>
      <c r="C10" s="44"/>
      <c r="D10" s="45" t="s">
        <v>98</v>
      </c>
      <c r="E10" s="45" t="s">
        <v>98</v>
      </c>
      <c r="F10" s="45" t="s">
        <v>134</v>
      </c>
      <c r="G10" s="45" t="s">
        <v>135</v>
      </c>
      <c r="H10" s="45" t="s">
        <v>136</v>
      </c>
      <c r="I10" s="45" t="s">
        <v>137</v>
      </c>
      <c r="J10" s="45" t="s">
        <v>138</v>
      </c>
    </row>
    <row r="11" ht="17.25" customHeight="1">
      <c r="A11" s="56"/>
      <c r="B11" s="57" t="s">
        <v>139</v>
      </c>
      <c r="C11" s="58"/>
      <c r="D11" s="58"/>
      <c r="E11" s="58"/>
      <c r="F11" s="58"/>
      <c r="G11" s="58"/>
      <c r="H11" s="58"/>
      <c r="I11" s="58"/>
      <c r="J11" s="59"/>
    </row>
    <row r="12" ht="23.25" customHeight="1">
      <c r="A12" s="41"/>
      <c r="B12" s="41"/>
      <c r="C12" s="41"/>
      <c r="D12" s="41" t="s">
        <v>126</v>
      </c>
      <c r="E12" s="41" t="s">
        <v>140</v>
      </c>
      <c r="F12" s="60" t="s">
        <v>127</v>
      </c>
      <c r="G12" s="58"/>
      <c r="H12" s="58"/>
      <c r="I12" s="58"/>
      <c r="J12" s="59"/>
    </row>
    <row r="13" ht="43.5" customHeight="1">
      <c r="A13" s="45" t="s">
        <v>133</v>
      </c>
      <c r="B13" s="44"/>
      <c r="C13" s="44"/>
      <c r="D13" s="45" t="s">
        <v>91</v>
      </c>
      <c r="E13" s="45" t="s">
        <v>141</v>
      </c>
      <c r="F13" s="45" t="s">
        <v>91</v>
      </c>
      <c r="G13" s="61"/>
      <c r="H13" s="61"/>
      <c r="I13" s="61"/>
      <c r="J13" s="61"/>
    </row>
    <row r="14" ht="43.5" customHeight="1">
      <c r="A14" s="45" t="s">
        <v>142</v>
      </c>
      <c r="B14" s="44"/>
      <c r="C14" s="44"/>
      <c r="D14" s="45" t="s">
        <v>91</v>
      </c>
      <c r="E14" s="45" t="s">
        <v>141</v>
      </c>
      <c r="F14" s="45" t="s">
        <v>91</v>
      </c>
      <c r="G14" s="61"/>
      <c r="H14" s="61"/>
      <c r="I14" s="61"/>
      <c r="J14" s="61"/>
    </row>
    <row r="15" ht="43.5" customHeight="1">
      <c r="A15" s="45" t="s">
        <v>143</v>
      </c>
      <c r="B15" s="44"/>
      <c r="C15" s="44"/>
      <c r="D15" s="45" t="s">
        <v>82</v>
      </c>
      <c r="E15" s="45" t="s">
        <v>144</v>
      </c>
      <c r="F15" s="45" t="s">
        <v>82</v>
      </c>
      <c r="G15" s="61"/>
      <c r="H15" s="61"/>
      <c r="I15" s="61"/>
      <c r="J15" s="61"/>
    </row>
    <row r="16" ht="43.5" customHeight="1">
      <c r="A16" s="45" t="s">
        <v>145</v>
      </c>
      <c r="B16" s="44"/>
      <c r="C16" s="44"/>
      <c r="D16" s="45" t="s">
        <v>82</v>
      </c>
      <c r="E16" s="45" t="s">
        <v>144</v>
      </c>
      <c r="F16" s="45" t="s">
        <v>82</v>
      </c>
      <c r="G16" s="61"/>
      <c r="H16" s="61"/>
      <c r="I16" s="61"/>
      <c r="J16" s="61"/>
    </row>
    <row r="17" ht="43.5" customHeight="1">
      <c r="A17" s="45" t="s">
        <v>146</v>
      </c>
      <c r="B17" s="44"/>
      <c r="C17" s="44"/>
      <c r="D17" s="45" t="s">
        <v>82</v>
      </c>
      <c r="E17" s="45" t="s">
        <v>144</v>
      </c>
      <c r="F17" s="45" t="s">
        <v>82</v>
      </c>
      <c r="G17" s="61"/>
      <c r="H17" s="61"/>
      <c r="I17" s="61"/>
      <c r="J17" s="61"/>
    </row>
    <row r="18" ht="43.5" customHeight="1">
      <c r="A18" s="45" t="s">
        <v>147</v>
      </c>
      <c r="B18" s="44"/>
      <c r="C18" s="44"/>
      <c r="D18" s="45" t="s">
        <v>82</v>
      </c>
      <c r="E18" s="45" t="s">
        <v>144</v>
      </c>
      <c r="F18" s="45" t="s">
        <v>82</v>
      </c>
      <c r="G18" s="61"/>
      <c r="H18" s="61"/>
      <c r="I18" s="61"/>
      <c r="J18" s="61"/>
    </row>
    <row r="19" ht="43.5" customHeight="1">
      <c r="A19" s="45" t="s">
        <v>148</v>
      </c>
      <c r="B19" s="44"/>
      <c r="C19" s="44"/>
      <c r="D19" s="45" t="s">
        <v>82</v>
      </c>
      <c r="E19" s="45" t="s">
        <v>144</v>
      </c>
      <c r="F19" s="45" t="s">
        <v>82</v>
      </c>
      <c r="G19" s="61"/>
      <c r="H19" s="61"/>
      <c r="I19" s="61"/>
      <c r="J19" s="61"/>
    </row>
    <row r="20" ht="14.25" customHeight="1">
      <c r="A20" s="39" t="s">
        <v>72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0">
    <mergeCell ref="A1:C1"/>
    <mergeCell ref="D1:E1"/>
    <mergeCell ref="F1:J1"/>
    <mergeCell ref="A2:J2"/>
    <mergeCell ref="A3:J3"/>
    <mergeCell ref="A4:J4"/>
    <mergeCell ref="A5:J5"/>
    <mergeCell ref="F15:J15"/>
    <mergeCell ref="F16:J16"/>
    <mergeCell ref="F17:J17"/>
    <mergeCell ref="F18:J18"/>
    <mergeCell ref="F19:J19"/>
    <mergeCell ref="A20:J20"/>
    <mergeCell ref="A6:J6"/>
    <mergeCell ref="A7:J7"/>
    <mergeCell ref="B8:J8"/>
    <mergeCell ref="B11:J11"/>
    <mergeCell ref="F12:J12"/>
    <mergeCell ref="F13:J13"/>
    <mergeCell ref="F14:J1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34" width="7.63"/>
  </cols>
  <sheetData>
    <row r="1" ht="116.25" customHeight="1">
      <c r="A1" s="39"/>
      <c r="F1" s="40" t="s">
        <v>149</v>
      </c>
    </row>
    <row r="2">
      <c r="A2" s="62" t="s">
        <v>150</v>
      </c>
      <c r="B2" s="63"/>
      <c r="C2" s="63"/>
      <c r="D2" s="63"/>
      <c r="E2" s="63"/>
      <c r="F2" s="63"/>
      <c r="G2" s="63"/>
      <c r="H2" s="63"/>
      <c r="I2" s="63"/>
    </row>
    <row r="3">
      <c r="A3" s="64" t="s">
        <v>151</v>
      </c>
      <c r="B3" s="63"/>
      <c r="C3" s="63"/>
      <c r="D3" s="63"/>
      <c r="E3" s="63"/>
      <c r="F3" s="63"/>
      <c r="G3" s="63"/>
      <c r="H3" s="63"/>
      <c r="I3" s="63"/>
    </row>
    <row r="4" ht="51.0" customHeight="1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C1"/>
    <mergeCell ref="D1:E1"/>
    <mergeCell ref="F1:I1"/>
    <mergeCell ref="A2:I2"/>
    <mergeCell ref="A3:I3"/>
    <mergeCell ref="A4:I4"/>
    <mergeCell ref="A5:I32"/>
  </mergeCells>
  <hyperlinks>
    <hyperlink r:id="rId1" location="/share/topology/019c20fe-f70d-791a-a270-72f83ff6df57" ref="A3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26" width="7.63"/>
  </cols>
  <sheetData>
    <row r="1" ht="116.25" customHeight="1">
      <c r="A1" s="39"/>
      <c r="D1" s="39"/>
      <c r="F1" s="40" t="s">
        <v>152</v>
      </c>
    </row>
    <row r="2" ht="14.25" customHeight="1">
      <c r="A2" s="39" t="s">
        <v>72</v>
      </c>
    </row>
    <row r="3" ht="45.75" customHeight="1">
      <c r="A3" s="65" t="s">
        <v>122</v>
      </c>
    </row>
    <row r="4" ht="309.0" customHeight="1"/>
    <row r="5" ht="43.5" customHeight="1"/>
    <row r="6" ht="14.25" customHeight="1">
      <c r="A6" s="39" t="s">
        <v>72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26" width="7.63"/>
  </cols>
  <sheetData>
    <row r="1" ht="116.25" customHeight="1">
      <c r="A1" s="39"/>
      <c r="D1" s="39"/>
      <c r="F1" s="40" t="s">
        <v>153</v>
      </c>
    </row>
    <row r="2" ht="14.25" customHeight="1">
      <c r="A2" s="39" t="s">
        <v>72</v>
      </c>
    </row>
    <row r="3" ht="45.75" customHeight="1">
      <c r="A3" s="65" t="s">
        <v>122</v>
      </c>
    </row>
    <row r="4" ht="309.0" customHeight="1"/>
    <row r="5" ht="43.5" customHeight="1"/>
    <row r="6" ht="14.25" customHeight="1">
      <c r="A6" s="39" t="s">
        <v>72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26" width="7.63"/>
  </cols>
  <sheetData>
    <row r="1" ht="116.25" customHeight="1">
      <c r="A1" s="39"/>
      <c r="D1" s="39"/>
      <c r="F1" s="40" t="s">
        <v>154</v>
      </c>
    </row>
    <row r="2" ht="14.25" customHeight="1">
      <c r="A2" s="39" t="s">
        <v>72</v>
      </c>
    </row>
    <row r="3" ht="45.75" customHeight="1">
      <c r="A3" s="65" t="s">
        <v>122</v>
      </c>
    </row>
    <row r="4" ht="309.0" customHeight="1"/>
    <row r="5" ht="43.5" customHeight="1"/>
    <row r="6" ht="14.25" customHeight="1">
      <c r="A6" s="39" t="s">
        <v>72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26" width="7.63"/>
  </cols>
  <sheetData>
    <row r="1" ht="116.25" customHeight="1">
      <c r="A1" s="39"/>
      <c r="D1" s="39"/>
      <c r="F1" s="40" t="s">
        <v>155</v>
      </c>
    </row>
    <row r="2" ht="14.25" customHeight="1">
      <c r="A2" s="39" t="s">
        <v>72</v>
      </c>
    </row>
    <row r="3" ht="45.75" customHeight="1">
      <c r="A3" s="65" t="s">
        <v>122</v>
      </c>
    </row>
    <row r="4" ht="25.5" customHeight="1"/>
    <row r="5" ht="309.0" customHeight="1"/>
    <row r="6" ht="14.25" customHeight="1">
      <c r="A6" s="39" t="s">
        <v>72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